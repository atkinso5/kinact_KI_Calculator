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Documents\kinetic_parameter_calculations\kinact_KI_calculator\Excel\"/>
    </mc:Choice>
  </mc:AlternateContent>
  <xr:revisionPtr revIDLastSave="0" documentId="13_ncr:1_{AA49C200-E4ED-490E-8C81-BE8616C10E0C}" xr6:coauthVersionLast="47" xr6:coauthVersionMax="47" xr10:uidLastSave="{00000000-0000-0000-0000-000000000000}"/>
  <bookViews>
    <workbookView xWindow="-108" yWindow="-108" windowWidth="23256" windowHeight="12576" activeTab="1" xr2:uid="{5051B634-BF27-134E-B9AA-5A59D0D6CF90}"/>
  </bookViews>
  <sheets>
    <sheet name="Instructions" sheetId="93" r:id="rId1"/>
    <sheet name="Data" sheetId="2" r:id="rId2"/>
    <sheet name="Report" sheetId="3" r:id="rId3"/>
  </sheets>
  <definedNames>
    <definedName name="solver_adj" localSheetId="1" hidden="1">Data!$G$1:$G$2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itr" localSheetId="1" hidden="1">2147483647</definedName>
    <definedName name="solver_lhs1" localSheetId="1" hidden="1">Data!$G$2</definedName>
    <definedName name="solver_lhs2" localSheetId="1" hidden="1">Data!$G$2</definedName>
    <definedName name="solver_lhs3" localSheetId="1" hidden="1">Data!$G$2</definedName>
    <definedName name="solver_lin" localSheetId="1" hidden="1">2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1</definedName>
    <definedName name="solver_opt" localSheetId="1" hidden="1">Data!$G$11</definedName>
    <definedName name="solver_pre" localSheetId="1" hidden="1">0.000001</definedName>
    <definedName name="solver_rbv" localSheetId="1" hidden="1">2</definedName>
    <definedName name="solver_rel1" localSheetId="1" hidden="1">3</definedName>
    <definedName name="solver_rel2" localSheetId="1" hidden="1">1</definedName>
    <definedName name="solver_rel3" localSheetId="1" hidden="1">3</definedName>
    <definedName name="solver_rhs1" localSheetId="1" hidden="1">0</definedName>
    <definedName name="solver_rhs2" localSheetId="1" hidden="1">1000</definedName>
    <definedName name="solver_rhs3" localSheetId="1" hidden="1">0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2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69" i="2" l="1" a="1"/>
  <c r="F70" i="2" a="1"/>
  <c r="F46" i="2" a="1"/>
  <c r="F64" i="2" a="1"/>
  <c r="F51" i="2" a="1"/>
  <c r="F67" i="2" a="1"/>
  <c r="F73" i="2" a="1"/>
  <c r="F47" i="2" a="1"/>
  <c r="F41" i="2" a="1"/>
  <c r="F72" i="2" a="1"/>
  <c r="F48" i="2" a="1"/>
  <c r="F50" i="2" a="1"/>
  <c r="F59" i="2" a="1"/>
  <c r="F68" i="2" a="1"/>
  <c r="F56" i="2" a="1"/>
  <c r="F63" i="2" a="1"/>
  <c r="F44" i="2" a="1"/>
  <c r="F74" i="2" a="1"/>
  <c r="F76" i="2" a="1"/>
  <c r="F61" i="2" a="1"/>
  <c r="F45" i="2" a="1"/>
  <c r="F57" i="2" a="1"/>
  <c r="F49" i="2" a="1"/>
  <c r="F38" i="2" a="1"/>
  <c r="F62" i="2" a="1"/>
  <c r="F77" i="2" a="1"/>
  <c r="F40" i="2" a="1"/>
  <c r="F71" i="2" a="1"/>
  <c r="F58" i="2" a="1"/>
  <c r="F66" i="2" a="1"/>
  <c r="F75" i="2" a="1"/>
  <c r="F53" i="2" a="1"/>
  <c r="F54" i="2" a="1"/>
  <c r="F43" i="2" a="1"/>
  <c r="F55" i="2" a="1"/>
  <c r="F42" i="2" a="1"/>
  <c r="F60" i="2" a="1"/>
  <c r="F14" i="2" a="1"/>
  <c r="F14" i="2" l="1"/>
  <c r="F67" i="2"/>
  <c r="F46" i="2"/>
  <c r="F58" i="2"/>
  <c r="F63" i="2"/>
  <c r="F72" i="2"/>
  <c r="F42" i="2"/>
  <c r="F62" i="2"/>
  <c r="F59" i="2"/>
  <c r="F68" i="2"/>
  <c r="F47" i="2"/>
  <c r="F61" i="2"/>
  <c r="F54" i="2"/>
  <c r="F69" i="2"/>
  <c r="F40" i="2"/>
  <c r="F51" i="2"/>
  <c r="F64" i="2"/>
  <c r="F66" i="2"/>
  <c r="F73" i="2"/>
  <c r="F48" i="2"/>
  <c r="F49" i="2"/>
  <c r="F60" i="2"/>
  <c r="F74" i="2"/>
  <c r="F75" i="2"/>
  <c r="F44" i="2"/>
  <c r="F45" i="2"/>
  <c r="F56" i="2"/>
  <c r="F70" i="2"/>
  <c r="F71" i="2"/>
  <c r="F43" i="2"/>
  <c r="F41" i="2"/>
  <c r="F57" i="2"/>
  <c r="F77" i="2"/>
  <c r="F50" i="2"/>
  <c r="F53" i="2"/>
  <c r="F55" i="2"/>
  <c r="F76" i="2"/>
  <c r="F38" i="2"/>
  <c r="C68" i="2" l="1"/>
  <c r="C69" i="2"/>
  <c r="C70" i="2"/>
  <c r="C71" i="2"/>
  <c r="C72" i="2"/>
  <c r="C73" i="2"/>
  <c r="C74" i="2"/>
  <c r="C75" i="2"/>
  <c r="C76" i="2"/>
  <c r="C77" i="2"/>
  <c r="C67" i="2"/>
  <c r="C55" i="2"/>
  <c r="C56" i="2"/>
  <c r="C57" i="2"/>
  <c r="C58" i="2"/>
  <c r="C59" i="2"/>
  <c r="C60" i="2"/>
  <c r="C61" i="2"/>
  <c r="C62" i="2"/>
  <c r="C63" i="2"/>
  <c r="C64" i="2"/>
  <c r="C54" i="2"/>
  <c r="C42" i="2"/>
  <c r="C43" i="2"/>
  <c r="C44" i="2"/>
  <c r="C45" i="2"/>
  <c r="C46" i="2"/>
  <c r="C47" i="2"/>
  <c r="C48" i="2"/>
  <c r="C49" i="2"/>
  <c r="C50" i="2"/>
  <c r="C51" i="2"/>
  <c r="C41" i="2"/>
  <c r="C29" i="2" l="1"/>
  <c r="C30" i="2"/>
  <c r="C31" i="2"/>
  <c r="C32" i="2"/>
  <c r="C33" i="2"/>
  <c r="C34" i="2"/>
  <c r="C35" i="2"/>
  <c r="C36" i="2"/>
  <c r="C37" i="2"/>
  <c r="C38" i="2"/>
  <c r="C28" i="2"/>
  <c r="C16" i="2"/>
  <c r="C17" i="2"/>
  <c r="C18" i="2"/>
  <c r="C19" i="2"/>
  <c r="C20" i="2"/>
  <c r="C21" i="2"/>
  <c r="C22" i="2"/>
  <c r="C23" i="2"/>
  <c r="C24" i="2"/>
  <c r="C25" i="2"/>
  <c r="C15" i="2"/>
  <c r="B10" i="2" l="1"/>
  <c r="H90" i="2"/>
  <c r="H89" i="2"/>
  <c r="H88" i="2"/>
  <c r="H87" i="2"/>
  <c r="H86" i="2"/>
  <c r="H85" i="2"/>
  <c r="H84" i="2"/>
  <c r="H83" i="2"/>
  <c r="H82" i="2"/>
  <c r="H81" i="2"/>
  <c r="H80" i="2"/>
  <c r="H79" i="2"/>
  <c r="H77" i="2"/>
  <c r="H76" i="2"/>
  <c r="H75" i="2"/>
  <c r="H74" i="2"/>
  <c r="H73" i="2"/>
  <c r="H72" i="2"/>
  <c r="H71" i="2"/>
  <c r="H70" i="2"/>
  <c r="H69" i="2"/>
  <c r="H68" i="2"/>
  <c r="H67" i="2"/>
  <c r="H66" i="2"/>
  <c r="H64" i="2"/>
  <c r="H63" i="2"/>
  <c r="H62" i="2"/>
  <c r="H61" i="2"/>
  <c r="H60" i="2"/>
  <c r="H59" i="2"/>
  <c r="H58" i="2"/>
  <c r="H57" i="2"/>
  <c r="H56" i="2"/>
  <c r="H55" i="2"/>
  <c r="H54" i="2"/>
  <c r="H53" i="2"/>
  <c r="H51" i="2"/>
  <c r="H50" i="2"/>
  <c r="H49" i="2"/>
  <c r="H48" i="2"/>
  <c r="H47" i="2"/>
  <c r="H46" i="2"/>
  <c r="H45" i="2"/>
  <c r="H44" i="2"/>
  <c r="H43" i="2"/>
  <c r="H42" i="2"/>
  <c r="H41" i="2"/>
  <c r="H40" i="2"/>
  <c r="H38" i="2"/>
  <c r="H37" i="2"/>
  <c r="H36" i="2"/>
  <c r="H35" i="2"/>
  <c r="H34" i="2"/>
  <c r="H33" i="2"/>
  <c r="H32" i="2"/>
  <c r="H31" i="2"/>
  <c r="H30" i="2"/>
  <c r="H29" i="2"/>
  <c r="H28" i="2"/>
  <c r="H27" i="2"/>
  <c r="H15" i="2"/>
  <c r="H16" i="2"/>
  <c r="H17" i="2"/>
  <c r="H18" i="2"/>
  <c r="H19" i="2"/>
  <c r="H20" i="2"/>
  <c r="H21" i="2"/>
  <c r="H22" i="2"/>
  <c r="H23" i="2"/>
  <c r="H24" i="2"/>
  <c r="H25" i="2"/>
  <c r="H14" i="2"/>
  <c r="F27" i="2" a="1"/>
  <c r="F27" i="2" l="1"/>
  <c r="H11" i="2"/>
  <c r="H39" i="3"/>
  <c r="G39" i="3"/>
  <c r="H23" i="3"/>
  <c r="G23" i="3"/>
  <c r="H7" i="3"/>
  <c r="G7" i="3"/>
  <c r="C39" i="3"/>
  <c r="B39" i="3"/>
  <c r="C23" i="3"/>
  <c r="B23" i="3"/>
  <c r="C7" i="3"/>
  <c r="B7" i="3"/>
  <c r="F85" i="2" l="1"/>
  <c r="F84" i="2" l="1"/>
  <c r="F87" i="2" l="1"/>
  <c r="F86" i="2"/>
  <c r="F80" i="2" l="1"/>
  <c r="F79" i="2" l="1"/>
  <c r="F89" i="2" l="1"/>
  <c r="F83" i="2"/>
  <c r="F82" i="2" l="1"/>
  <c r="F90" i="2" l="1"/>
  <c r="F81" i="2" l="1"/>
  <c r="F88" i="2" l="1"/>
  <c r="A81" i="2" l="1"/>
  <c r="B81" i="2"/>
  <c r="A82" i="2"/>
  <c r="B82" i="2"/>
  <c r="A83" i="2"/>
  <c r="B83" i="2"/>
  <c r="A84" i="2"/>
  <c r="B84" i="2"/>
  <c r="A85" i="2"/>
  <c r="B85" i="2"/>
  <c r="A86" i="2"/>
  <c r="B86" i="2"/>
  <c r="A87" i="2"/>
  <c r="B87" i="2"/>
  <c r="A88" i="2"/>
  <c r="B88" i="2"/>
  <c r="A89" i="2"/>
  <c r="B89" i="2"/>
  <c r="A90" i="2"/>
  <c r="B90" i="2"/>
  <c r="B80" i="2"/>
  <c r="A80" i="2"/>
  <c r="A68" i="2"/>
  <c r="B68" i="2"/>
  <c r="A69" i="2"/>
  <c r="B69" i="2"/>
  <c r="A70" i="2"/>
  <c r="B70" i="2"/>
  <c r="A71" i="2"/>
  <c r="B71" i="2"/>
  <c r="A72" i="2"/>
  <c r="B72" i="2"/>
  <c r="A73" i="2"/>
  <c r="B73" i="2"/>
  <c r="A74" i="2"/>
  <c r="B74" i="2"/>
  <c r="A75" i="2"/>
  <c r="B75" i="2"/>
  <c r="A76" i="2"/>
  <c r="B76" i="2"/>
  <c r="A77" i="2"/>
  <c r="B77" i="2"/>
  <c r="B67" i="2"/>
  <c r="A67" i="2"/>
  <c r="A55" i="2"/>
  <c r="B55" i="2"/>
  <c r="A56" i="2"/>
  <c r="B56" i="2"/>
  <c r="A57" i="2"/>
  <c r="B57" i="2"/>
  <c r="A58" i="2"/>
  <c r="B58" i="2"/>
  <c r="A59" i="2"/>
  <c r="B59" i="2"/>
  <c r="A60" i="2"/>
  <c r="B60" i="2"/>
  <c r="A61" i="2"/>
  <c r="B61" i="2"/>
  <c r="A62" i="2"/>
  <c r="B62" i="2"/>
  <c r="A63" i="2"/>
  <c r="B63" i="2"/>
  <c r="A64" i="2"/>
  <c r="B64" i="2"/>
  <c r="B54" i="2"/>
  <c r="A54" i="2"/>
  <c r="A42" i="2"/>
  <c r="B42" i="2"/>
  <c r="A43" i="2"/>
  <c r="B43" i="2"/>
  <c r="A44" i="2"/>
  <c r="B44" i="2"/>
  <c r="A45" i="2"/>
  <c r="B45" i="2"/>
  <c r="A46" i="2"/>
  <c r="B46" i="2"/>
  <c r="A47" i="2"/>
  <c r="B47" i="2"/>
  <c r="A48" i="2"/>
  <c r="B48" i="2"/>
  <c r="A49" i="2"/>
  <c r="B49" i="2"/>
  <c r="A50" i="2"/>
  <c r="B50" i="2"/>
  <c r="A51" i="2"/>
  <c r="B51" i="2"/>
  <c r="B41" i="2"/>
  <c r="A41" i="2"/>
  <c r="A16" i="2"/>
  <c r="B16" i="2"/>
  <c r="A17" i="2"/>
  <c r="B17" i="2"/>
  <c r="A18" i="2"/>
  <c r="B18" i="2"/>
  <c r="A19" i="2"/>
  <c r="B19" i="2"/>
  <c r="A20" i="2"/>
  <c r="B20" i="2"/>
  <c r="A21" i="2"/>
  <c r="B21" i="2"/>
  <c r="A22" i="2"/>
  <c r="B22" i="2"/>
  <c r="A23" i="2"/>
  <c r="B23" i="2"/>
  <c r="A24" i="2"/>
  <c r="B24" i="2"/>
  <c r="A25" i="2"/>
  <c r="B25" i="2"/>
  <c r="B15" i="2"/>
  <c r="A15" i="2"/>
  <c r="A29" i="2"/>
  <c r="B29" i="2"/>
  <c r="A30" i="2"/>
  <c r="B30" i="2"/>
  <c r="A31" i="2"/>
  <c r="B31" i="2"/>
  <c r="A32" i="2"/>
  <c r="B32" i="2"/>
  <c r="A33" i="2"/>
  <c r="B33" i="2"/>
  <c r="A34" i="2"/>
  <c r="B34" i="2"/>
  <c r="A35" i="2"/>
  <c r="B35" i="2"/>
  <c r="A36" i="2"/>
  <c r="B36" i="2"/>
  <c r="A37" i="2"/>
  <c r="B37" i="2"/>
  <c r="A38" i="2"/>
  <c r="B38" i="2"/>
  <c r="B28" i="2"/>
  <c r="A28" i="2"/>
  <c r="H2" i="3"/>
  <c r="H1" i="3"/>
  <c r="C3" i="3"/>
  <c r="C4" i="3"/>
  <c r="C1" i="3"/>
  <c r="C2" i="3"/>
  <c r="G80" i="2"/>
  <c r="G81" i="2"/>
  <c r="G82" i="2"/>
  <c r="G83" i="2"/>
  <c r="G84" i="2"/>
  <c r="G85" i="2"/>
  <c r="G86" i="2"/>
  <c r="G87" i="2"/>
  <c r="G88" i="2"/>
  <c r="G89" i="2"/>
  <c r="G90" i="2"/>
  <c r="G79" i="2"/>
  <c r="F32" i="2" a="1"/>
  <c r="F24" i="2" a="1"/>
  <c r="F23" i="2" a="1"/>
  <c r="F21" i="2" a="1"/>
  <c r="F33" i="2" a="1"/>
  <c r="F30" i="2" a="1"/>
  <c r="F19" i="2" a="1"/>
  <c r="F18" i="2" a="1"/>
  <c r="F28" i="2" a="1"/>
  <c r="F31" i="2" a="1"/>
  <c r="F36" i="2" a="1"/>
  <c r="F15" i="2" a="1"/>
  <c r="F22" i="2" a="1"/>
  <c r="F16" i="2" a="1"/>
  <c r="F25" i="2" a="1"/>
  <c r="F20" i="2" a="1"/>
  <c r="F29" i="2" a="1"/>
  <c r="F35" i="2" a="1"/>
  <c r="F34" i="2" a="1"/>
  <c r="F37" i="2" a="1"/>
  <c r="F17" i="2" a="1"/>
  <c r="F30" i="2" l="1"/>
  <c r="F28" i="2"/>
  <c r="F35" i="2"/>
  <c r="F31" i="2"/>
  <c r="F33" i="2"/>
  <c r="F34" i="2"/>
  <c r="F37" i="2"/>
  <c r="F29" i="2"/>
  <c r="F36" i="2"/>
  <c r="F32" i="2"/>
  <c r="F25" i="2"/>
  <c r="F17" i="2"/>
  <c r="F20" i="2"/>
  <c r="F16" i="2"/>
  <c r="F21" i="2"/>
  <c r="F24" i="2"/>
  <c r="F23" i="2"/>
  <c r="F19" i="2"/>
  <c r="F15" i="2"/>
  <c r="F22" i="2"/>
  <c r="F18" i="2"/>
  <c r="G3" i="2"/>
  <c r="G4" i="2" s="1"/>
  <c r="H3" i="3" l="1"/>
  <c r="G25" i="2"/>
  <c r="G20" i="2" l="1"/>
  <c r="G15" i="2" l="1"/>
  <c r="G22" i="2" l="1"/>
  <c r="G19" i="2" l="1"/>
  <c r="G17" i="2"/>
  <c r="G16" i="2"/>
  <c r="G23" i="2" l="1"/>
  <c r="G18" i="2" l="1"/>
  <c r="G14" i="2" l="1"/>
  <c r="G24" i="2"/>
  <c r="G21" i="2" l="1"/>
  <c r="G38" i="2" l="1"/>
  <c r="G33" i="2" l="1"/>
  <c r="G28" i="2" l="1"/>
  <c r="G35" i="2" l="1"/>
  <c r="G32" i="2" l="1"/>
  <c r="G30" i="2"/>
  <c r="G29" i="2"/>
  <c r="G36" i="2" l="1"/>
  <c r="G31" i="2" l="1"/>
  <c r="G27" i="2" l="1"/>
  <c r="G37" i="2"/>
  <c r="G34" i="2" l="1"/>
  <c r="G51" i="2" l="1"/>
  <c r="G46" i="2" l="1"/>
  <c r="G41" i="2" l="1"/>
  <c r="G48" i="2" l="1"/>
  <c r="G45" i="2" l="1"/>
  <c r="G44" i="2"/>
  <c r="G43" i="2"/>
  <c r="G42" i="2"/>
  <c r="G49" i="2" l="1"/>
  <c r="G40" i="2" l="1"/>
  <c r="G50" i="2"/>
  <c r="G47" i="2" l="1"/>
  <c r="G64" i="2" l="1"/>
  <c r="G59" i="2" l="1"/>
  <c r="G54" i="2" l="1"/>
  <c r="G61" i="2" l="1"/>
  <c r="G58" i="2" l="1"/>
  <c r="G57" i="2"/>
  <c r="G56" i="2"/>
  <c r="G55" i="2"/>
  <c r="G62" i="2" l="1"/>
  <c r="G53" i="2" l="1"/>
  <c r="G63" i="2"/>
  <c r="G60" i="2" l="1"/>
  <c r="G77" i="2" l="1"/>
  <c r="G67" i="2" l="1"/>
  <c r="G72" i="2" l="1"/>
  <c r="G74" i="2" l="1"/>
  <c r="G70" i="2" l="1"/>
  <c r="G69" i="2" l="1"/>
  <c r="G73" i="2" l="1"/>
  <c r="G71" i="2" l="1"/>
  <c r="G68" i="2" l="1"/>
  <c r="G75" i="2" l="1"/>
  <c r="G66" i="2" l="1"/>
  <c r="G76" i="2" l="1"/>
  <c r="G11" i="2" s="1"/>
  <c r="J11" i="2" l="1"/>
  <c r="H5" i="3" s="1"/>
  <c r="I11" i="2"/>
  <c r="H4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<sst xmlns="http://schemas.openxmlformats.org/spreadsheetml/2006/main" count="60" uniqueCount="60">
  <si>
    <t>Test compound name</t>
  </si>
  <si>
    <t>Date</t>
  </si>
  <si>
    <t>Pre-incubation time (min)</t>
  </si>
  <si>
    <r>
      <t>k</t>
    </r>
    <r>
      <rPr>
        <b/>
        <vertAlign val="subscript"/>
        <sz val="12"/>
        <color theme="1"/>
        <rFont val="ArialMT"/>
      </rPr>
      <t>inact</t>
    </r>
    <r>
      <rPr>
        <b/>
        <sz val="12"/>
        <color theme="1"/>
        <rFont val="ArialMT"/>
      </rPr>
      <t xml:space="preserve"> (min</t>
    </r>
    <r>
      <rPr>
        <b/>
        <vertAlign val="superscript"/>
        <sz val="12"/>
        <color theme="1"/>
        <rFont val="ArialMT"/>
      </rPr>
      <t>-1</t>
    </r>
    <r>
      <rPr>
        <b/>
        <sz val="12"/>
        <color theme="1"/>
        <rFont val="ArialMT"/>
      </rPr>
      <t>)</t>
    </r>
  </si>
  <si>
    <t>Incubation time (min)</t>
  </si>
  <si>
    <r>
      <t>K</t>
    </r>
    <r>
      <rPr>
        <b/>
        <vertAlign val="subscript"/>
        <sz val="12"/>
        <color theme="1"/>
        <rFont val="ArialMT"/>
      </rPr>
      <t>I</t>
    </r>
    <r>
      <rPr>
        <b/>
        <sz val="12"/>
        <color theme="1"/>
        <rFont val="ArialMT"/>
      </rPr>
      <t xml:space="preserve"> (µM)</t>
    </r>
  </si>
  <si>
    <t>[Substrate] (µM)</t>
  </si>
  <si>
    <t>[Enzyme] (µM)</t>
  </si>
  <si>
    <r>
      <t>k</t>
    </r>
    <r>
      <rPr>
        <b/>
        <vertAlign val="subscript"/>
        <sz val="12"/>
        <color theme="1"/>
        <rFont val="ArialMT"/>
      </rPr>
      <t>cat</t>
    </r>
    <r>
      <rPr>
        <b/>
        <sz val="12"/>
        <color theme="1"/>
        <rFont val="ArialMT"/>
      </rPr>
      <t xml:space="preserve"> (min</t>
    </r>
    <r>
      <rPr>
        <b/>
        <vertAlign val="superscript"/>
        <sz val="12"/>
        <color theme="1"/>
        <rFont val="ArialMT"/>
      </rPr>
      <t>-1</t>
    </r>
    <r>
      <rPr>
        <b/>
        <sz val="12"/>
        <color theme="1"/>
        <rFont val="ArialMT"/>
      </rPr>
      <t>)</t>
    </r>
  </si>
  <si>
    <r>
      <t>K</t>
    </r>
    <r>
      <rPr>
        <b/>
        <vertAlign val="subscript"/>
        <sz val="12"/>
        <color theme="1"/>
        <rFont val="ArialMT"/>
      </rPr>
      <t>M</t>
    </r>
    <r>
      <rPr>
        <b/>
        <sz val="12"/>
        <color theme="1"/>
        <rFont val="ArialMT"/>
      </rPr>
      <t xml:space="preserve"> (µM)</t>
    </r>
  </si>
  <si>
    <t>Response coefficient</t>
  </si>
  <si>
    <t>[Inhibitor] (µM)</t>
  </si>
  <si>
    <t>Signal</t>
  </si>
  <si>
    <t>Pred Signal</t>
  </si>
  <si>
    <r>
      <t>k</t>
    </r>
    <r>
      <rPr>
        <b/>
        <vertAlign val="subscript"/>
        <sz val="12"/>
        <color theme="1"/>
        <rFont val="ArialMT"/>
      </rPr>
      <t>inact</t>
    </r>
    <r>
      <rPr>
        <b/>
        <sz val="12"/>
        <color theme="1"/>
        <rFont val="ArialMT"/>
      </rPr>
      <t>/K</t>
    </r>
    <r>
      <rPr>
        <b/>
        <vertAlign val="subscript"/>
        <sz val="12"/>
        <color theme="1"/>
        <rFont val="ArialMT"/>
      </rPr>
      <t>I</t>
    </r>
    <r>
      <rPr>
        <b/>
        <sz val="12"/>
        <color theme="1"/>
        <rFont val="ArialMT"/>
      </rPr>
      <t xml:space="preserve"> (µM</t>
    </r>
    <r>
      <rPr>
        <b/>
        <vertAlign val="superscript"/>
        <sz val="12"/>
        <color theme="1"/>
        <rFont val="ArialMT"/>
      </rPr>
      <t>-1</t>
    </r>
    <r>
      <rPr>
        <b/>
        <sz val="12"/>
        <color theme="1"/>
        <rFont val="ArialMT"/>
      </rPr>
      <t>min</t>
    </r>
    <r>
      <rPr>
        <b/>
        <vertAlign val="superscript"/>
        <sz val="12"/>
        <color theme="1"/>
        <rFont val="ArialMT"/>
      </rPr>
      <t>-1</t>
    </r>
    <r>
      <rPr>
        <b/>
        <sz val="12"/>
        <color theme="1"/>
        <rFont val="ArialMT"/>
      </rPr>
      <t>)</t>
    </r>
  </si>
  <si>
    <t>Set to give 100% at [I]=0</t>
  </si>
  <si>
    <r>
      <t>k</t>
    </r>
    <r>
      <rPr>
        <b/>
        <vertAlign val="subscript"/>
        <sz val="12"/>
        <color theme="1"/>
        <rFont val="ArialMT"/>
      </rPr>
      <t>inact</t>
    </r>
    <r>
      <rPr>
        <b/>
        <sz val="12"/>
        <color theme="1"/>
        <rFont val="ArialMT"/>
      </rPr>
      <t xml:space="preserve"> (min</t>
    </r>
    <r>
      <rPr>
        <b/>
        <vertAlign val="superscript"/>
        <sz val="12"/>
        <color theme="1"/>
        <rFont val="ArialMT"/>
      </rPr>
      <t>-1</t>
    </r>
    <r>
      <rPr>
        <b/>
        <sz val="12"/>
        <color theme="1"/>
        <rFont val="ArialMT"/>
      </rPr>
      <t>) =</t>
    </r>
  </si>
  <si>
    <r>
      <t>K</t>
    </r>
    <r>
      <rPr>
        <b/>
        <vertAlign val="subscript"/>
        <sz val="12"/>
        <color theme="1"/>
        <rFont val="ArialMT"/>
      </rPr>
      <t>I</t>
    </r>
    <r>
      <rPr>
        <b/>
        <sz val="12"/>
        <color theme="1"/>
        <rFont val="ArialMT"/>
      </rPr>
      <t xml:space="preserve"> (µM) =</t>
    </r>
  </si>
  <si>
    <r>
      <t>k</t>
    </r>
    <r>
      <rPr>
        <b/>
        <vertAlign val="subscript"/>
        <sz val="12"/>
        <color theme="1"/>
        <rFont val="ArialMT"/>
      </rPr>
      <t>inact</t>
    </r>
    <r>
      <rPr>
        <b/>
        <sz val="12"/>
        <color theme="1"/>
        <rFont val="ArialMT"/>
      </rPr>
      <t>/K</t>
    </r>
    <r>
      <rPr>
        <b/>
        <vertAlign val="subscript"/>
        <sz val="12"/>
        <color theme="1"/>
        <rFont val="ArialMT"/>
      </rPr>
      <t>I</t>
    </r>
    <r>
      <rPr>
        <b/>
        <sz val="12"/>
        <color theme="1"/>
        <rFont val="ArialMT"/>
      </rPr>
      <t xml:space="preserve"> (µM</t>
    </r>
    <r>
      <rPr>
        <b/>
        <vertAlign val="superscript"/>
        <sz val="12"/>
        <color theme="1"/>
        <rFont val="ArialMT"/>
      </rPr>
      <t>-1</t>
    </r>
    <r>
      <rPr>
        <b/>
        <sz val="12"/>
        <color theme="1"/>
        <rFont val="ArialMT"/>
      </rPr>
      <t>min</t>
    </r>
    <r>
      <rPr>
        <b/>
        <vertAlign val="superscript"/>
        <sz val="12"/>
        <color theme="1"/>
        <rFont val="ArialMT"/>
      </rPr>
      <t>-1</t>
    </r>
    <r>
      <rPr>
        <b/>
        <sz val="12"/>
        <color theme="1"/>
        <rFont val="ArialMT"/>
      </rPr>
      <t>) =</t>
    </r>
  </si>
  <si>
    <t>Date :</t>
  </si>
  <si>
    <t>[Substrate] (µM) :</t>
  </si>
  <si>
    <t>[Enzyme] (µM) :</t>
  </si>
  <si>
    <t>Test compound name :</t>
  </si>
  <si>
    <t>Residual</t>
  </si>
  <si>
    <r>
      <t>R</t>
    </r>
    <r>
      <rPr>
        <b/>
        <vertAlign val="superscript"/>
        <sz val="12"/>
        <color theme="1"/>
        <rFont val="ArialMT"/>
      </rPr>
      <t>2</t>
    </r>
  </si>
  <si>
    <r>
      <t>k</t>
    </r>
    <r>
      <rPr>
        <b/>
        <vertAlign val="subscript"/>
        <sz val="12"/>
        <color theme="1"/>
        <rFont val="ArialMT"/>
      </rPr>
      <t>inact</t>
    </r>
    <r>
      <rPr>
        <b/>
        <sz val="12"/>
        <color theme="1"/>
        <rFont val="ArialMT"/>
      </rPr>
      <t>/K</t>
    </r>
    <r>
      <rPr>
        <b/>
        <vertAlign val="subscript"/>
        <sz val="12"/>
        <color theme="1"/>
        <rFont val="ArialMT"/>
      </rPr>
      <t>I</t>
    </r>
    <r>
      <rPr>
        <b/>
        <sz val="12"/>
        <color theme="1"/>
        <rFont val="ArialMT"/>
      </rPr>
      <t xml:space="preserve"> (M</t>
    </r>
    <r>
      <rPr>
        <b/>
        <vertAlign val="superscript"/>
        <sz val="12"/>
        <color theme="1"/>
        <rFont val="ArialMT"/>
      </rPr>
      <t>-1</t>
    </r>
    <r>
      <rPr>
        <b/>
        <sz val="12"/>
        <color theme="1"/>
        <rFont val="ArialMT"/>
      </rPr>
      <t>s</t>
    </r>
    <r>
      <rPr>
        <b/>
        <vertAlign val="superscript"/>
        <sz val="12"/>
        <color theme="1"/>
        <rFont val="ArialMT"/>
      </rPr>
      <t>-1</t>
    </r>
    <r>
      <rPr>
        <b/>
        <sz val="12"/>
        <color theme="1"/>
        <rFont val="ArialMT"/>
      </rPr>
      <t>)</t>
    </r>
  </si>
  <si>
    <t>Deviation</t>
  </si>
  <si>
    <t>Sum Sq. Residual</t>
  </si>
  <si>
    <t>Sum Sq. Total</t>
  </si>
  <si>
    <t>RMS Error</t>
  </si>
  <si>
    <t>RMSE =</t>
  </si>
  <si>
    <r>
      <t>R</t>
    </r>
    <r>
      <rPr>
        <b/>
        <vertAlign val="superscript"/>
        <sz val="12"/>
        <color theme="1"/>
        <rFont val="ArialMT"/>
      </rPr>
      <t>2</t>
    </r>
    <r>
      <rPr>
        <b/>
        <sz val="12"/>
        <color theme="1"/>
        <rFont val="ArialMT"/>
      </rPr>
      <t xml:space="preserve"> =</t>
    </r>
  </si>
  <si>
    <t>After fitting, Save As under a new filename.</t>
  </si>
  <si>
    <t>Generalities</t>
  </si>
  <si>
    <t>Input</t>
  </si>
  <si>
    <t>Only enter information into orange 'input' cells:</t>
  </si>
  <si>
    <t>Specifics</t>
  </si>
  <si>
    <t>On the Data sheet, enter compound name and date of evaluation.</t>
  </si>
  <si>
    <t>Then enter the raw data for each IC50 curve.</t>
  </si>
  <si>
    <t>This includes the pre-incubation time (where enzyme is incubated with inhibitor prior to addition of substrate),</t>
  </si>
  <si>
    <t>the incubation time (which begins with addition of substrate and ends with reaction quenching/reading)</t>
  </si>
  <si>
    <t>Next, enter an estimate 'Response coefficient' value for each data set.  This is a scalar value that mirrors the normalisation process.</t>
  </si>
  <si>
    <t>Enter a value that brings the predicted value up to ~100 in the presence of 'zero' inhibitor.</t>
  </si>
  <si>
    <t>For experiments in which the incubation time does not change from curve to curve, use the same number for each data set.</t>
  </si>
  <si>
    <t>It is recommended to start with a low value for KI (e.g. 0.0001 µM) and an average value for kinact (e.g. 0.1 min-1).</t>
  </si>
  <si>
    <t>Next, enter initial estimate values for kinact and KI.  The best fit lines in the curves below will reflect the initial values, so some adjustment can be made.</t>
  </si>
  <si>
    <t>Finally, navigate to the 'Data' menu and click on 'Solver'.  The conditions should be pre-set, so don't change them, just click 'Solve'.</t>
  </si>
  <si>
    <t>After a few iterations, the best fit values will be reported in the same cells where you entered the initial estimates.</t>
  </si>
  <si>
    <t>The goodness of fit can be interpreted from the correlation (R2) and from the RMS error (the typical vertical distance from the best fit line to a data point).</t>
  </si>
  <si>
    <t xml:space="preserve">On the 'Report' sheet you will find a printable format of the results, including the final values for the kinetic parameters, </t>
  </si>
  <si>
    <t>the fitted IC50 curves, the goodness of fit measurements and a representation of estimated (not fitted!)</t>
  </si>
  <si>
    <t xml:space="preserve"> IC50 values for the observed data and the predicted values.</t>
  </si>
  <si>
    <t>Also enter the parameters for the enzyme used in the activity assay.  This information will not change from run to run.</t>
  </si>
  <si>
    <t>the total volume of the assay mix during this pre-incubation,</t>
  </si>
  <si>
    <t>the total volume of the assay mix during the incubation step (representing a slight dilution of the pre-incubation mixture),</t>
  </si>
  <si>
    <t>an finally the normalised % signal measured at each inhibitor concentration.</t>
  </si>
  <si>
    <t>Pre-incubation vol. (µL)</t>
  </si>
  <si>
    <t>Incubation vol. (µL)</t>
  </si>
  <si>
    <t>Dilution factor =</t>
  </si>
  <si>
    <t>Sample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</si>
</sst>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yyyy\-mm\-dd;@"/>
    <numFmt numFmtId="165" formatCode="0.000"/>
    <numFmt numFmtId="166" formatCode="0.0000"/>
    <numFmt numFmtId="167" formatCode="0.00000"/>
  </numFmts>
  <fonts count="13">
    <font>
      <sz val="12"/>
      <color theme="1"/>
      <name val="ArialMT"/>
      <family val="2"/>
    </font>
    <font>
      <sz val="12"/>
      <color rgb="FF3F3F76"/>
      <name val="ArialMT"/>
      <family val="2"/>
    </font>
    <font>
      <b/>
      <sz val="12"/>
      <color rgb="FF3F3F3F"/>
      <name val="ArialMT"/>
      <family val="2"/>
    </font>
    <font>
      <b/>
      <sz val="12"/>
      <color rgb="FFFA7D00"/>
      <name val="ArialMT"/>
      <family val="2"/>
    </font>
    <font>
      <i/>
      <sz val="12"/>
      <color rgb="FF7F7F7F"/>
      <name val="ArialMT"/>
      <family val="2"/>
    </font>
    <font>
      <b/>
      <sz val="12"/>
      <color theme="1"/>
      <name val="ArialMT"/>
    </font>
    <font>
      <b/>
      <vertAlign val="subscript"/>
      <sz val="12"/>
      <color theme="1"/>
      <name val="ArialMT"/>
    </font>
    <font>
      <b/>
      <vertAlign val="superscript"/>
      <sz val="12"/>
      <color theme="1"/>
      <name val="ArialMT"/>
    </font>
    <font>
      <b/>
      <i/>
      <sz val="12"/>
      <color theme="1"/>
      <name val="ArialMT"/>
    </font>
    <font>
      <b/>
      <i/>
      <sz val="12"/>
      <color rgb="FFFF0000"/>
      <name val="ArialMT"/>
    </font>
    <font>
      <b/>
      <sz val="12"/>
      <color rgb="FFFF0000"/>
      <name val="ArialMT"/>
      <family val="2"/>
    </font>
    <font>
      <b/>
      <i/>
      <sz val="12"/>
      <color rgb="FF7F7F7F"/>
      <name val="ArialMT"/>
    </font>
    <font>
      <b/>
      <sz val="12"/>
      <color rgb="FF3F3F76"/>
      <name val="ArialMT"/>
    </font>
  </fonts>
  <fills count="13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5">
    <xf numFmtId="0" fontId="0" fillId="0" borderId="0"/>
    <xf numFmtId="0" fontId="1" fillId="2" borderId="1" applyNumberFormat="0" applyAlignment="0" applyProtection="0"/>
    <xf numFmtId="0" fontId="2" fillId="3" borderId="2" applyNumberFormat="0" applyAlignment="0" applyProtection="0"/>
    <xf numFmtId="0" fontId="3" fillId="3" borderId="1" applyNumberFormat="0" applyAlignment="0" applyProtection="0"/>
    <xf numFmtId="0" fontId="4" fillId="0" borderId="0" applyNumberFormat="0" applyFill="0" applyBorder="0" applyAlignment="0" applyProtection="0"/>
  </cellStyleXfs>
  <cellXfs count="46">
    <xf numFmtId="0" fontId="0" fillId="0" borderId="0" xfId="0"/>
    <xf numFmtId="0" fontId="0" fillId="4" borderId="0" xfId="0" applyFill="1"/>
    <xf numFmtId="0" fontId="5" fillId="4" borderId="0" xfId="0" applyFont="1" applyFill="1" applyAlignment="1">
      <alignment horizontal="right"/>
    </xf>
    <xf numFmtId="0" fontId="1" fillId="2" borderId="1" xfId="1"/>
    <xf numFmtId="0" fontId="5" fillId="5" borderId="0" xfId="0" applyFont="1" applyFill="1" applyAlignment="1">
      <alignment horizontal="right" vertical="center"/>
    </xf>
    <xf numFmtId="0" fontId="1" fillId="2" borderId="1" xfId="1" applyAlignment="1">
      <alignment horizontal="left" vertical="center"/>
    </xf>
    <xf numFmtId="0" fontId="5" fillId="0" borderId="0" xfId="0" applyFont="1" applyAlignment="1">
      <alignment horizontal="right" vertical="center"/>
    </xf>
    <xf numFmtId="0" fontId="4" fillId="0" borderId="0" xfId="4" quotePrefix="1"/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1" fillId="2" borderId="1" xfId="1" applyAlignment="1">
      <alignment horizontal="center" vertical="center"/>
    </xf>
    <xf numFmtId="0" fontId="1" fillId="2" borderId="1" xfId="1" applyAlignment="1">
      <alignment horizontal="center"/>
    </xf>
    <xf numFmtId="0" fontId="0" fillId="6" borderId="0" xfId="0" applyFill="1"/>
    <xf numFmtId="0" fontId="5" fillId="7" borderId="0" xfId="0" applyFont="1" applyFill="1" applyAlignment="1">
      <alignment horizontal="right" vertical="center"/>
    </xf>
    <xf numFmtId="0" fontId="8" fillId="4" borderId="0" xfId="0" applyFont="1" applyFill="1"/>
    <xf numFmtId="0" fontId="0" fillId="8" borderId="0" xfId="0" applyFill="1"/>
    <xf numFmtId="0" fontId="8" fillId="8" borderId="0" xfId="0" applyFont="1" applyFill="1"/>
    <xf numFmtId="0" fontId="0" fillId="9" borderId="0" xfId="0" applyFill="1"/>
    <xf numFmtId="0" fontId="8" fillId="9" borderId="0" xfId="0" applyFont="1" applyFill="1"/>
    <xf numFmtId="0" fontId="0" fillId="10" borderId="0" xfId="0" applyFill="1"/>
    <xf numFmtId="0" fontId="8" fillId="10" borderId="0" xfId="0" applyFont="1" applyFill="1"/>
    <xf numFmtId="0" fontId="0" fillId="11" borderId="0" xfId="0" applyFill="1"/>
    <xf numFmtId="0" fontId="8" fillId="11" borderId="0" xfId="0" applyFont="1" applyFill="1"/>
    <xf numFmtId="0" fontId="0" fillId="12" borderId="0" xfId="0" applyFill="1"/>
    <xf numFmtId="0" fontId="8" fillId="12" borderId="0" xfId="0" applyFont="1" applyFill="1"/>
    <xf numFmtId="164" fontId="1" fillId="2" borderId="1" xfId="1" applyNumberFormat="1" applyAlignment="1">
      <alignment horizontal="left"/>
    </xf>
    <xf numFmtId="0" fontId="2" fillId="3" borderId="2" xfId="2" applyAlignment="1">
      <alignment horizontal="center"/>
    </xf>
    <xf numFmtId="0" fontId="9" fillId="0" borderId="0" xfId="0" applyFont="1"/>
    <xf numFmtId="165" fontId="10" fillId="3" borderId="2" xfId="2" applyNumberFormat="1" applyFont="1" applyAlignment="1">
      <alignment horizontal="center" vertical="center"/>
    </xf>
    <xf numFmtId="0" fontId="2" fillId="3" borderId="2" xfId="2" applyAlignment="1">
      <alignment horizontal="left"/>
    </xf>
    <xf numFmtId="0" fontId="0" fillId="4" borderId="0" xfId="0" applyFill="1" applyAlignment="1">
      <alignment horizontal="left"/>
    </xf>
    <xf numFmtId="164" fontId="0" fillId="4" borderId="0" xfId="0" applyNumberFormat="1" applyFill="1" applyAlignment="1">
      <alignment horizontal="left"/>
    </xf>
    <xf numFmtId="0" fontId="0" fillId="5" borderId="0" xfId="0" applyFill="1" applyAlignment="1">
      <alignment horizontal="left"/>
    </xf>
    <xf numFmtId="166" fontId="0" fillId="7" borderId="0" xfId="0" applyNumberFormat="1" applyFill="1" applyAlignment="1">
      <alignment horizontal="left"/>
    </xf>
    <xf numFmtId="167" fontId="1" fillId="2" borderId="1" xfId="1" applyNumberFormat="1" applyAlignment="1">
      <alignment horizontal="center" vertical="center"/>
    </xf>
    <xf numFmtId="165" fontId="0" fillId="0" borderId="0" xfId="0" applyNumberFormat="1"/>
    <xf numFmtId="165" fontId="0" fillId="6" borderId="0" xfId="0" applyNumberFormat="1" applyFill="1"/>
    <xf numFmtId="1" fontId="3" fillId="3" borderId="1" xfId="3" applyNumberFormat="1" applyAlignment="1">
      <alignment horizontal="center"/>
    </xf>
    <xf numFmtId="166" fontId="3" fillId="3" borderId="1" xfId="3" applyNumberFormat="1" applyAlignment="1">
      <alignment horizontal="center" vertical="center"/>
    </xf>
    <xf numFmtId="165" fontId="3" fillId="3" borderId="1" xfId="3" applyNumberFormat="1" applyAlignment="1">
      <alignment horizontal="center" vertical="center"/>
    </xf>
    <xf numFmtId="165" fontId="0" fillId="7" borderId="0" xfId="0" applyNumberFormat="1" applyFill="1" applyAlignment="1">
      <alignment horizontal="left"/>
    </xf>
    <xf numFmtId="0" fontId="4" fillId="0" borderId="0" xfId="4"/>
    <xf numFmtId="0" fontId="11" fillId="0" borderId="0" xfId="4" applyFont="1"/>
    <xf numFmtId="0" fontId="2" fillId="3" borderId="2" xfId="2" applyAlignment="1">
      <alignment horizontal="left" vertical="center"/>
    </xf>
    <xf numFmtId="0" fontId="12" fillId="2" borderId="1" xfId="1" applyFont="1" applyAlignment="1">
      <alignment horizontal="center"/>
    </xf>
    <xf numFmtId="0" fontId="11" fillId="0" borderId="0" xfId="4" applyFont="1" applyAlignment="1">
      <alignment horizontal="left"/>
    </xf>
  </cellXfs>
  <cellStyles count="5">
    <cellStyle name="Calculation" xfId="3" builtinId="22"/>
    <cellStyle name="Explanatory Text" xfId="4" builtinId="53"/>
    <cellStyle name="Input" xfId="1" builtinId="20"/>
    <cellStyle name="Normal" xfId="0" builtinId="0"/>
    <cellStyle name="Output" xfId="2" builtinId="21"/>
  </cellStyles>
  <dxfs count="0"/>
  <tableStyles count="0" defaultTableStyle="TableStyleMedium2" defaultPivotStyle="PivotStyleLight16"/>
  <colors>
    <mruColors>
      <color rgb="FFFF9A8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164781470789761E-2"/>
          <c:y val="1.984732824427481E-2"/>
          <c:w val="0.71590146809394906"/>
          <c:h val="0.78681122146163895"/>
        </c:manualLayout>
      </c:layout>
      <c:scatterChart>
        <c:scatterStyle val="lineMarker"/>
        <c:varyColors val="0"/>
        <c:ser>
          <c:idx val="0"/>
          <c:order val="0"/>
          <c:tx>
            <c:strRef>
              <c:f>Data!$E$13</c:f>
              <c:strCache>
                <c:ptCount val="1"/>
                <c:pt idx="0">
                  <c:v>Signal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Data!$D$14:$D$25</c:f>
              <c:numCache>
                <c:formatCode>0.00000</c:formatCode>
                <c:ptCount val="12"/>
                <c:pt idx="0">
                  <c:v>100</c:v>
                </c:pt>
                <c:pt idx="1">
                  <c:v>33.333329999999997</c:v>
                </c:pt>
                <c:pt idx="2">
                  <c:v>11.11111</c:v>
                </c:pt>
                <c:pt idx="3">
                  <c:v>3.7037040000000001</c:v>
                </c:pt>
                <c:pt idx="4">
                  <c:v>1.2345680000000001</c:v>
                </c:pt>
                <c:pt idx="5">
                  <c:v>0.41152300000000003</c:v>
                </c:pt>
                <c:pt idx="6">
                  <c:v>0.13717399999999999</c:v>
                </c:pt>
                <c:pt idx="7">
                  <c:v>4.5725000000000002E-2</c:v>
                </c:pt>
                <c:pt idx="8">
                  <c:v>1.5242E-2</c:v>
                </c:pt>
                <c:pt idx="9">
                  <c:v>5.0809999999999996E-3</c:v>
                </c:pt>
                <c:pt idx="10">
                  <c:v>1.694E-3</c:v>
                </c:pt>
                <c:pt idx="11">
                  <c:v>5.6466666666666666E-4</c:v>
                </c:pt>
              </c:numCache>
            </c:numRef>
          </c:xVal>
          <c:yVal>
            <c:numRef>
              <c:f>Data!$E$14:$E$25</c:f>
              <c:numCache>
                <c:formatCode>General</c:formatCode>
                <c:ptCount val="12"/>
                <c:pt idx="0">
                  <c:v>1.1436647010000001</c:v>
                </c:pt>
                <c:pt idx="1">
                  <c:v>3.1005792889999997</c:v>
                </c:pt>
                <c:pt idx="2">
                  <c:v>0.2169684945</c:v>
                </c:pt>
                <c:pt idx="3">
                  <c:v>1.2822188365</c:v>
                </c:pt>
                <c:pt idx="4">
                  <c:v>5.2644760884999995</c:v>
                </c:pt>
                <c:pt idx="5">
                  <c:v>20.518364484999999</c:v>
                </c:pt>
                <c:pt idx="6">
                  <c:v>57.313320864999994</c:v>
                </c:pt>
                <c:pt idx="7">
                  <c:v>91.067250234999989</c:v>
                </c:pt>
                <c:pt idx="8">
                  <c:v>95.593534699999992</c:v>
                </c:pt>
                <c:pt idx="9">
                  <c:v>90.229874300000006</c:v>
                </c:pt>
                <c:pt idx="10">
                  <c:v>94.363867479999996</c:v>
                </c:pt>
                <c:pt idx="11">
                  <c:v>89.673060000000007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8B-4D4A-AAFD-7FC6F6366E8C}"/>
            </c:ext>
          </c:extLst>
        </c:ser>
        <c:ser>
          <c:idx val="1"/>
          <c:order val="1"/>
          <c:tx>
            <c:strRef>
              <c:f>Data!$F$13</c:f>
              <c:strCache>
                <c:ptCount val="1"/>
                <c:pt idx="0">
                  <c:v>Pred Signal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8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Data!$D$14:$D$25</c:f>
              <c:numCache>
                <c:formatCode>0.00000</c:formatCode>
                <c:ptCount val="12"/>
                <c:pt idx="0">
                  <c:v>100</c:v>
                </c:pt>
                <c:pt idx="1">
                  <c:v>33.333329999999997</c:v>
                </c:pt>
                <c:pt idx="2">
                  <c:v>11.11111</c:v>
                </c:pt>
                <c:pt idx="3">
                  <c:v>3.7037040000000001</c:v>
                </c:pt>
                <c:pt idx="4">
                  <c:v>1.2345680000000001</c:v>
                </c:pt>
                <c:pt idx="5">
                  <c:v>0.41152300000000003</c:v>
                </c:pt>
                <c:pt idx="6">
                  <c:v>0.13717399999999999</c:v>
                </c:pt>
                <c:pt idx="7">
                  <c:v>4.5725000000000002E-2</c:v>
                </c:pt>
                <c:pt idx="8">
                  <c:v>1.5242E-2</c:v>
                </c:pt>
                <c:pt idx="9">
                  <c:v>5.0809999999999996E-3</c:v>
                </c:pt>
                <c:pt idx="10">
                  <c:v>1.694E-3</c:v>
                </c:pt>
                <c:pt idx="11">
                  <c:v>5.6466666666666666E-4</c:v>
                </c:pt>
              </c:numCache>
            </c:numRef>
          </c:xVal>
          <c:yVal>
            <c:numRef>
              <c:f>Data!$F$14:$F$25</c:f>
              <c:numCache>
                <c:formatCode>0.000</c:formatCode>
                <c:ptCount val="12"/>
                <c:pt idx="0">
                  <c:v>2.1434029698235314E-2</c:v>
                </c:pt>
                <c:pt idx="1">
                  <c:v>6.5967920979849382E-2</c:v>
                </c:pt>
                <c:pt idx="2">
                  <c:v>0.21240018709072606</c:v>
                </c:pt>
                <c:pt idx="3">
                  <c:v>0.75492675142862287</c:v>
                </c:pt>
                <c:pt idx="4">
                  <c:v>3.0499956329349738</c:v>
                </c:pt>
                <c:pt idx="5">
                  <c:v>12.473991459708152</c:v>
                </c:pt>
                <c:pt idx="6">
                  <c:v>38.391679039502108</c:v>
                </c:pt>
                <c:pt idx="7">
                  <c:v>69.690599817616061</c:v>
                </c:pt>
                <c:pt idx="8">
                  <c:v>88.246614154446334</c:v>
                </c:pt>
                <c:pt idx="9">
                  <c:v>95.917462661681753</c:v>
                </c:pt>
                <c:pt idx="10">
                  <c:v>98.672687817199531</c:v>
                </c:pt>
                <c:pt idx="11">
                  <c:v>99.614846721103817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8B-4D4A-AAFD-7FC6F6366E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2322656"/>
        <c:axId val="1742324928"/>
      </c:scatterChart>
      <c:valAx>
        <c:axId val="174232265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Data!$D$13</c:f>
              <c:strCache>
                <c:ptCount val="1"/>
                <c:pt idx="0">
                  <c:v>[Inhibitor] (µM)</c:v>
                </c:pt>
              </c:strCache>
            </c:strRef>
          </c:tx>
          <c:layout>
            <c:manualLayout>
              <c:xMode val="edge"/>
              <c:yMode val="edge"/>
              <c:x val="0.36664202994597145"/>
              <c:y val="0.945038167938931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.0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42324928"/>
        <c:crosses val="autoZero"/>
        <c:crossBetween val="midCat"/>
      </c:valAx>
      <c:valAx>
        <c:axId val="17423249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Data!$E$13</c:f>
              <c:strCache>
                <c:ptCount val="1"/>
                <c:pt idx="0">
                  <c:v>Signal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42322656"/>
        <c:crossesAt val="1.0000000000000004E-6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5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164781470789761E-2"/>
          <c:y val="1.984732824427481E-2"/>
          <c:w val="0.71590146809394906"/>
          <c:h val="0.78681122146163895"/>
        </c:manualLayout>
      </c:layout>
      <c:scatterChart>
        <c:scatterStyle val="lineMarker"/>
        <c:varyColors val="0"/>
        <c:ser>
          <c:idx val="0"/>
          <c:order val="0"/>
          <c:tx>
            <c:strRef>
              <c:f>Data!$E$13</c:f>
              <c:strCache>
                <c:ptCount val="1"/>
                <c:pt idx="0">
                  <c:v>Signal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Data!$D$27:$D$38</c:f>
              <c:numCache>
                <c:formatCode>0.00000</c:formatCode>
                <c:ptCount val="12"/>
                <c:pt idx="0">
                  <c:v>100</c:v>
                </c:pt>
                <c:pt idx="1">
                  <c:v>33.333329999999997</c:v>
                </c:pt>
                <c:pt idx="2">
                  <c:v>11.11111</c:v>
                </c:pt>
                <c:pt idx="3">
                  <c:v>3.7037040000000001</c:v>
                </c:pt>
                <c:pt idx="4">
                  <c:v>1.2345680000000001</c:v>
                </c:pt>
                <c:pt idx="5">
                  <c:v>0.41152300000000003</c:v>
                </c:pt>
                <c:pt idx="6">
                  <c:v>0.13717399999999999</c:v>
                </c:pt>
                <c:pt idx="7">
                  <c:v>4.5725000000000002E-2</c:v>
                </c:pt>
                <c:pt idx="8">
                  <c:v>1.5242E-2</c:v>
                </c:pt>
                <c:pt idx="9">
                  <c:v>5.0809999999999996E-3</c:v>
                </c:pt>
                <c:pt idx="10">
                  <c:v>1.694E-3</c:v>
                </c:pt>
                <c:pt idx="11">
                  <c:v>5.6466666666666666E-4</c:v>
                </c:pt>
              </c:numCache>
            </c:numRef>
          </c:xVal>
          <c:yVal>
            <c:numRef>
              <c:f>Data!$E$27:$E$38</c:f>
              <c:numCache>
                <c:formatCode>General</c:formatCode>
                <c:ptCount val="12"/>
                <c:pt idx="0">
                  <c:v>0.79526985699999997</c:v>
                </c:pt>
                <c:pt idx="1">
                  <c:v>1.4876140550000001</c:v>
                </c:pt>
                <c:pt idx="2">
                  <c:v>0.11150184099999999</c:v>
                </c:pt>
                <c:pt idx="3">
                  <c:v>0.85481757299999994</c:v>
                </c:pt>
                <c:pt idx="4">
                  <c:v>3.0838375254999999</c:v>
                </c:pt>
                <c:pt idx="5">
                  <c:v>12.3844970265</c:v>
                </c:pt>
                <c:pt idx="6">
                  <c:v>39.349150444999999</c:v>
                </c:pt>
                <c:pt idx="7">
                  <c:v>66.328025804999996</c:v>
                </c:pt>
                <c:pt idx="8">
                  <c:v>80.230896924999996</c:v>
                </c:pt>
                <c:pt idx="9">
                  <c:v>90.006021820000001</c:v>
                </c:pt>
                <c:pt idx="10">
                  <c:v>101.946782575</c:v>
                </c:pt>
                <c:pt idx="11">
                  <c:v>121.6502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8B-4D4A-AAFD-7FC6F6366E8C}"/>
            </c:ext>
          </c:extLst>
        </c:ser>
        <c:ser>
          <c:idx val="1"/>
          <c:order val="1"/>
          <c:tx>
            <c:strRef>
              <c:f>Data!$F$13</c:f>
              <c:strCache>
                <c:ptCount val="1"/>
                <c:pt idx="0">
                  <c:v>Pred Signal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8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Data!$D$27:$D$38</c:f>
              <c:numCache>
                <c:formatCode>0.00000</c:formatCode>
                <c:ptCount val="12"/>
                <c:pt idx="0">
                  <c:v>100</c:v>
                </c:pt>
                <c:pt idx="1">
                  <c:v>33.333329999999997</c:v>
                </c:pt>
                <c:pt idx="2">
                  <c:v>11.11111</c:v>
                </c:pt>
                <c:pt idx="3">
                  <c:v>3.7037040000000001</c:v>
                </c:pt>
                <c:pt idx="4">
                  <c:v>1.2345680000000001</c:v>
                </c:pt>
                <c:pt idx="5">
                  <c:v>0.41152300000000003</c:v>
                </c:pt>
                <c:pt idx="6">
                  <c:v>0.13717399999999999</c:v>
                </c:pt>
                <c:pt idx="7">
                  <c:v>4.5725000000000002E-2</c:v>
                </c:pt>
                <c:pt idx="8">
                  <c:v>1.5242E-2</c:v>
                </c:pt>
                <c:pt idx="9">
                  <c:v>5.0809999999999996E-3</c:v>
                </c:pt>
                <c:pt idx="10">
                  <c:v>1.694E-3</c:v>
                </c:pt>
                <c:pt idx="11">
                  <c:v>5.6466666666666666E-4</c:v>
                </c:pt>
              </c:numCache>
            </c:numRef>
          </c:xVal>
          <c:yVal>
            <c:numRef>
              <c:f>Data!$F$27:$F$38</c:f>
              <c:numCache>
                <c:formatCode>0.000</c:formatCode>
                <c:ptCount val="12"/>
                <c:pt idx="0">
                  <c:v>3.3233816430595555E-3</c:v>
                </c:pt>
                <c:pt idx="1">
                  <c:v>1.064116643889251E-2</c:v>
                </c:pt>
                <c:pt idx="2">
                  <c:v>3.8215514628607741E-2</c:v>
                </c:pt>
                <c:pt idx="3">
                  <c:v>0.17636175503270832</c:v>
                </c:pt>
                <c:pt idx="4">
                  <c:v>1.1242345101924074</c:v>
                </c:pt>
                <c:pt idx="5">
                  <c:v>7.4616960752053823</c:v>
                </c:pt>
                <c:pt idx="6">
                  <c:v>31.153361541718414</c:v>
                </c:pt>
                <c:pt idx="7">
                  <c:v>64.652518709992947</c:v>
                </c:pt>
                <c:pt idx="8">
                  <c:v>86.010532777416444</c:v>
                </c:pt>
                <c:pt idx="9">
                  <c:v>95.093246937276007</c:v>
                </c:pt>
                <c:pt idx="10">
                  <c:v>98.3883687274148</c:v>
                </c:pt>
                <c:pt idx="11">
                  <c:v>99.518984351366328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8B-4D4A-AAFD-7FC6F6366E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2322656"/>
        <c:axId val="1742324928"/>
      </c:scatterChart>
      <c:valAx>
        <c:axId val="174232265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Data!$D$13</c:f>
              <c:strCache>
                <c:ptCount val="1"/>
                <c:pt idx="0">
                  <c:v>[Inhibitor] (µM)</c:v>
                </c:pt>
              </c:strCache>
            </c:strRef>
          </c:tx>
          <c:layout>
            <c:manualLayout>
              <c:xMode val="edge"/>
              <c:yMode val="edge"/>
              <c:x val="0.36664202994597145"/>
              <c:y val="0.945038167938931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.0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42324928"/>
        <c:crosses val="autoZero"/>
        <c:crossBetween val="midCat"/>
      </c:valAx>
      <c:valAx>
        <c:axId val="17423249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Data!$E$13</c:f>
              <c:strCache>
                <c:ptCount val="1"/>
                <c:pt idx="0">
                  <c:v>Signal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42322656"/>
        <c:crossesAt val="1.0000000000000004E-6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5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164781470789761E-2"/>
          <c:y val="1.984732824427481E-2"/>
          <c:w val="0.71590146809394906"/>
          <c:h val="0.78681122146163895"/>
        </c:manualLayout>
      </c:layout>
      <c:scatterChart>
        <c:scatterStyle val="lineMarker"/>
        <c:varyColors val="0"/>
        <c:ser>
          <c:idx val="0"/>
          <c:order val="0"/>
          <c:tx>
            <c:strRef>
              <c:f>Data!$E$13</c:f>
              <c:strCache>
                <c:ptCount val="1"/>
                <c:pt idx="0">
                  <c:v>Signal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Data!$D$40:$D$51</c:f>
              <c:numCache>
                <c:formatCode>0.00000</c:formatCode>
                <c:ptCount val="12"/>
                <c:pt idx="0">
                  <c:v>100</c:v>
                </c:pt>
                <c:pt idx="1">
                  <c:v>33.333329999999997</c:v>
                </c:pt>
                <c:pt idx="2">
                  <c:v>11.11111</c:v>
                </c:pt>
                <c:pt idx="3">
                  <c:v>3.7037040000000001</c:v>
                </c:pt>
                <c:pt idx="4">
                  <c:v>1.2345680000000001</c:v>
                </c:pt>
                <c:pt idx="5">
                  <c:v>0.41152300000000003</c:v>
                </c:pt>
                <c:pt idx="6">
                  <c:v>0.13717399999999999</c:v>
                </c:pt>
                <c:pt idx="7">
                  <c:v>4.5725000000000002E-2</c:v>
                </c:pt>
                <c:pt idx="8">
                  <c:v>1.5242E-2</c:v>
                </c:pt>
                <c:pt idx="9">
                  <c:v>5.0809999999999996E-3</c:v>
                </c:pt>
                <c:pt idx="10">
                  <c:v>1.694E-3</c:v>
                </c:pt>
                <c:pt idx="11">
                  <c:v>5.6466666666666666E-4</c:v>
                </c:pt>
              </c:numCache>
            </c:numRef>
          </c:xVal>
          <c:yVal>
            <c:numRef>
              <c:f>Data!$E$40:$E$51</c:f>
              <c:numCache>
                <c:formatCode>General</c:formatCode>
                <c:ptCount val="12"/>
                <c:pt idx="0">
                  <c:v>0.25690124149999999</c:v>
                </c:pt>
                <c:pt idx="1">
                  <c:v>0.28590910800000002</c:v>
                </c:pt>
                <c:pt idx="2">
                  <c:v>9.8224644500000013E-2</c:v>
                </c:pt>
                <c:pt idx="3">
                  <c:v>0.2471713505</c:v>
                </c:pt>
                <c:pt idx="4">
                  <c:v>0.40474643349999995</c:v>
                </c:pt>
                <c:pt idx="5">
                  <c:v>2.0808797819999998</c:v>
                </c:pt>
                <c:pt idx="6">
                  <c:v>10.256192799000001</c:v>
                </c:pt>
                <c:pt idx="7">
                  <c:v>35.851141429999998</c:v>
                </c:pt>
                <c:pt idx="8">
                  <c:v>72.761814770000001</c:v>
                </c:pt>
                <c:pt idx="9">
                  <c:v>79.744913545000003</c:v>
                </c:pt>
                <c:pt idx="10">
                  <c:v>91.937301079999997</c:v>
                </c:pt>
                <c:pt idx="11">
                  <c:v>96.054882460000002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8B-4D4A-AAFD-7FC6F6366E8C}"/>
            </c:ext>
          </c:extLst>
        </c:ser>
        <c:ser>
          <c:idx val="1"/>
          <c:order val="1"/>
          <c:tx>
            <c:strRef>
              <c:f>Data!$F$13</c:f>
              <c:strCache>
                <c:ptCount val="1"/>
                <c:pt idx="0">
                  <c:v>Pred Signal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8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Data!$D$40:$D$51</c:f>
              <c:numCache>
                <c:formatCode>0.00000</c:formatCode>
                <c:ptCount val="12"/>
                <c:pt idx="0">
                  <c:v>100</c:v>
                </c:pt>
                <c:pt idx="1">
                  <c:v>33.333329999999997</c:v>
                </c:pt>
                <c:pt idx="2">
                  <c:v>11.11111</c:v>
                </c:pt>
                <c:pt idx="3">
                  <c:v>3.7037040000000001</c:v>
                </c:pt>
                <c:pt idx="4">
                  <c:v>1.2345680000000001</c:v>
                </c:pt>
                <c:pt idx="5">
                  <c:v>0.41152300000000003</c:v>
                </c:pt>
                <c:pt idx="6">
                  <c:v>0.13717399999999999</c:v>
                </c:pt>
                <c:pt idx="7">
                  <c:v>4.5725000000000002E-2</c:v>
                </c:pt>
                <c:pt idx="8">
                  <c:v>1.5242E-2</c:v>
                </c:pt>
                <c:pt idx="9">
                  <c:v>5.0809999999999996E-3</c:v>
                </c:pt>
                <c:pt idx="10">
                  <c:v>1.694E-3</c:v>
                </c:pt>
                <c:pt idx="11">
                  <c:v>5.6466666666666666E-4</c:v>
                </c:pt>
              </c:numCache>
            </c:numRef>
          </c:xVal>
          <c:yVal>
            <c:numRef>
              <c:f>Data!$F$40:$F$51</c:f>
              <c:numCache>
                <c:formatCode>0.000</c:formatCode>
                <c:ptCount val="12"/>
                <c:pt idx="0">
                  <c:v>1.70158553699572E-7</c:v>
                </c:pt>
                <c:pt idx="1">
                  <c:v>6.8035066029806829E-7</c:v>
                </c:pt>
                <c:pt idx="2">
                  <c:v>4.4977772469712912E-6</c:v>
                </c:pt>
                <c:pt idx="3">
                  <c:v>8.7747221573894458E-5</c:v>
                </c:pt>
                <c:pt idx="4">
                  <c:v>6.545357041051348E-3</c:v>
                </c:pt>
                <c:pt idx="5">
                  <c:v>0.54801886616866091</c:v>
                </c:pt>
                <c:pt idx="6">
                  <c:v>10.877601458414965</c:v>
                </c:pt>
                <c:pt idx="7">
                  <c:v>44.383064994684382</c:v>
                </c:pt>
                <c:pt idx="8">
                  <c:v>75.648371965241154</c:v>
                </c:pt>
                <c:pt idx="9">
                  <c:v>91.079305846271964</c:v>
                </c:pt>
                <c:pt idx="10">
                  <c:v>96.980213377494138</c:v>
                </c:pt>
                <c:pt idx="11">
                  <c:v>99.041514931448972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8B-4D4A-AAFD-7FC6F6366E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2322656"/>
        <c:axId val="1742324928"/>
      </c:scatterChart>
      <c:valAx>
        <c:axId val="174232265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Data!$D$13</c:f>
              <c:strCache>
                <c:ptCount val="1"/>
                <c:pt idx="0">
                  <c:v>[Inhibitor] (µM)</c:v>
                </c:pt>
              </c:strCache>
            </c:strRef>
          </c:tx>
          <c:layout>
            <c:manualLayout>
              <c:xMode val="edge"/>
              <c:yMode val="edge"/>
              <c:x val="0.36664202994597145"/>
              <c:y val="0.945038167938931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.0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42324928"/>
        <c:crosses val="autoZero"/>
        <c:crossBetween val="midCat"/>
      </c:valAx>
      <c:valAx>
        <c:axId val="17423249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Data!$E$13</c:f>
              <c:strCache>
                <c:ptCount val="1"/>
                <c:pt idx="0">
                  <c:v>Signal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42322656"/>
        <c:crossesAt val="1.0000000000000004E-6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5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164781470789761E-2"/>
          <c:y val="1.984732824427481E-2"/>
          <c:w val="0.71590146809394906"/>
          <c:h val="0.78681122146163895"/>
        </c:manualLayout>
      </c:layout>
      <c:scatterChart>
        <c:scatterStyle val="lineMarker"/>
        <c:varyColors val="0"/>
        <c:ser>
          <c:idx val="0"/>
          <c:order val="0"/>
          <c:tx>
            <c:strRef>
              <c:f>Data!$E$13</c:f>
              <c:strCache>
                <c:ptCount val="1"/>
                <c:pt idx="0">
                  <c:v>Signal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Data!$D$53:$D$64</c:f>
              <c:numCache>
                <c:formatCode>0.00000</c:formatCode>
                <c:ptCount val="12"/>
                <c:pt idx="0">
                  <c:v>100</c:v>
                </c:pt>
                <c:pt idx="1">
                  <c:v>33.333329999999997</c:v>
                </c:pt>
                <c:pt idx="2">
                  <c:v>11.11111</c:v>
                </c:pt>
                <c:pt idx="3">
                  <c:v>3.7037040000000001</c:v>
                </c:pt>
                <c:pt idx="4">
                  <c:v>1.2345680000000001</c:v>
                </c:pt>
                <c:pt idx="5">
                  <c:v>0.41152300000000003</c:v>
                </c:pt>
                <c:pt idx="6">
                  <c:v>0.13717399999999999</c:v>
                </c:pt>
                <c:pt idx="7">
                  <c:v>4.5725000000000002E-2</c:v>
                </c:pt>
                <c:pt idx="8">
                  <c:v>1.5242E-2</c:v>
                </c:pt>
                <c:pt idx="9">
                  <c:v>5.0809999999999996E-3</c:v>
                </c:pt>
                <c:pt idx="10">
                  <c:v>1.694E-3</c:v>
                </c:pt>
                <c:pt idx="11">
                  <c:v>5.6466666666666666E-4</c:v>
                </c:pt>
              </c:numCache>
            </c:numRef>
          </c:xVal>
          <c:yVal>
            <c:numRef>
              <c:f>Data!$E$53:$E$64</c:f>
              <c:numCache>
                <c:formatCode>General</c:formatCode>
                <c:ptCount val="12"/>
                <c:pt idx="0">
                  <c:v>0.19764401649999999</c:v>
                </c:pt>
                <c:pt idx="1">
                  <c:v>0.31809100749999997</c:v>
                </c:pt>
                <c:pt idx="2">
                  <c:v>-3.3476829499999999E-2</c:v>
                </c:pt>
                <c:pt idx="3">
                  <c:v>0.29182462549999999</c:v>
                </c:pt>
                <c:pt idx="4">
                  <c:v>0.1743961235</c:v>
                </c:pt>
                <c:pt idx="5">
                  <c:v>0.690491572</c:v>
                </c:pt>
                <c:pt idx="6">
                  <c:v>1.8096546230000001</c:v>
                </c:pt>
                <c:pt idx="7">
                  <c:v>10.84644973</c:v>
                </c:pt>
                <c:pt idx="8">
                  <c:v>46.115170469999995</c:v>
                </c:pt>
                <c:pt idx="9">
                  <c:v>71.397878794999997</c:v>
                </c:pt>
                <c:pt idx="10">
                  <c:v>88.400413825000001</c:v>
                </c:pt>
                <c:pt idx="11">
                  <c:v>95.772197480000003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8B-4D4A-AAFD-7FC6F6366E8C}"/>
            </c:ext>
          </c:extLst>
        </c:ser>
        <c:ser>
          <c:idx val="1"/>
          <c:order val="1"/>
          <c:tx>
            <c:strRef>
              <c:f>Data!$F$13</c:f>
              <c:strCache>
                <c:ptCount val="1"/>
                <c:pt idx="0">
                  <c:v>Pred Signal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8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Data!$D$53:$D$64</c:f>
              <c:numCache>
                <c:formatCode>0.00000</c:formatCode>
                <c:ptCount val="12"/>
                <c:pt idx="0">
                  <c:v>100</c:v>
                </c:pt>
                <c:pt idx="1">
                  <c:v>33.333329999999997</c:v>
                </c:pt>
                <c:pt idx="2">
                  <c:v>11.11111</c:v>
                </c:pt>
                <c:pt idx="3">
                  <c:v>3.7037040000000001</c:v>
                </c:pt>
                <c:pt idx="4">
                  <c:v>1.2345680000000001</c:v>
                </c:pt>
                <c:pt idx="5">
                  <c:v>0.41152300000000003</c:v>
                </c:pt>
                <c:pt idx="6">
                  <c:v>0.13717399999999999</c:v>
                </c:pt>
                <c:pt idx="7">
                  <c:v>4.5725000000000002E-2</c:v>
                </c:pt>
                <c:pt idx="8">
                  <c:v>1.5242E-2</c:v>
                </c:pt>
                <c:pt idx="9">
                  <c:v>5.0809999999999996E-3</c:v>
                </c:pt>
                <c:pt idx="10">
                  <c:v>1.694E-3</c:v>
                </c:pt>
                <c:pt idx="11">
                  <c:v>5.6466666666666666E-4</c:v>
                </c:pt>
              </c:numCache>
            </c:numRef>
          </c:xVal>
          <c:yVal>
            <c:numRef>
              <c:f>Data!$F$53:$F$64</c:f>
              <c:numCache>
                <c:formatCode>0.000</c:formatCode>
                <c:ptCount val="12"/>
                <c:pt idx="0">
                  <c:v>1.4119725695421607E-21</c:v>
                </c:pt>
                <c:pt idx="1">
                  <c:v>1.3874686775575026E-20</c:v>
                </c:pt>
                <c:pt idx="2">
                  <c:v>1.0309310174338542E-18</c:v>
                </c:pt>
                <c:pt idx="3">
                  <c:v>4.6292441578392827E-15</c:v>
                </c:pt>
                <c:pt idx="4">
                  <c:v>1.6754221662427223E-9</c:v>
                </c:pt>
                <c:pt idx="5">
                  <c:v>3.636705304602807E-4</c:v>
                </c:pt>
                <c:pt idx="6">
                  <c:v>0.62038245112279777</c:v>
                </c:pt>
                <c:pt idx="7">
                  <c:v>16.152816147785604</c:v>
                </c:pt>
                <c:pt idx="8">
                  <c:v>53.695465441442529</c:v>
                </c:pt>
                <c:pt idx="9">
                  <c:v>81.198638950802021</c:v>
                </c:pt>
                <c:pt idx="10">
                  <c:v>93.332078304373283</c:v>
                </c:pt>
                <c:pt idx="11">
                  <c:v>97.783106392391431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8B-4D4A-AAFD-7FC6F6366E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2322656"/>
        <c:axId val="1742324928"/>
      </c:scatterChart>
      <c:valAx>
        <c:axId val="174232265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Data!$D$13</c:f>
              <c:strCache>
                <c:ptCount val="1"/>
                <c:pt idx="0">
                  <c:v>[Inhibitor] (µM)</c:v>
                </c:pt>
              </c:strCache>
            </c:strRef>
          </c:tx>
          <c:layout>
            <c:manualLayout>
              <c:xMode val="edge"/>
              <c:yMode val="edge"/>
              <c:x val="0.36664202994597145"/>
              <c:y val="0.945038167938931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.0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42324928"/>
        <c:crosses val="autoZero"/>
        <c:crossBetween val="midCat"/>
      </c:valAx>
      <c:valAx>
        <c:axId val="17423249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Data!$E$13</c:f>
              <c:strCache>
                <c:ptCount val="1"/>
                <c:pt idx="0">
                  <c:v>Signal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42322656"/>
        <c:crossesAt val="1.0000000000000004E-6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5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164781470789761E-2"/>
          <c:y val="1.984732824427481E-2"/>
          <c:w val="0.71590146809394906"/>
          <c:h val="0.78681122146163895"/>
        </c:manualLayout>
      </c:layout>
      <c:scatterChart>
        <c:scatterStyle val="lineMarker"/>
        <c:varyColors val="0"/>
        <c:ser>
          <c:idx val="0"/>
          <c:order val="0"/>
          <c:tx>
            <c:strRef>
              <c:f>Data!$E$13</c:f>
              <c:strCache>
                <c:ptCount val="1"/>
                <c:pt idx="0">
                  <c:v>Signal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Data!$D$66:$D$77</c:f>
              <c:numCache>
                <c:formatCode>0.00000</c:formatCode>
                <c:ptCount val="12"/>
                <c:pt idx="0">
                  <c:v>100</c:v>
                </c:pt>
                <c:pt idx="1">
                  <c:v>33.333329999999997</c:v>
                </c:pt>
                <c:pt idx="2">
                  <c:v>11.11111</c:v>
                </c:pt>
                <c:pt idx="3">
                  <c:v>3.7037040000000001</c:v>
                </c:pt>
                <c:pt idx="4">
                  <c:v>1.2345680000000001</c:v>
                </c:pt>
                <c:pt idx="5">
                  <c:v>0.41152300000000003</c:v>
                </c:pt>
                <c:pt idx="6">
                  <c:v>0.13717399999999999</c:v>
                </c:pt>
                <c:pt idx="7">
                  <c:v>4.5725000000000002E-2</c:v>
                </c:pt>
                <c:pt idx="8">
                  <c:v>1.5242E-2</c:v>
                </c:pt>
                <c:pt idx="9">
                  <c:v>5.0809999999999996E-3</c:v>
                </c:pt>
                <c:pt idx="10">
                  <c:v>1.694E-3</c:v>
                </c:pt>
                <c:pt idx="11">
                  <c:v>5.6466666666666666E-4</c:v>
                </c:pt>
              </c:numCache>
            </c:numRef>
          </c:xVal>
          <c:yVal>
            <c:numRef>
              <c:f>Data!$E$66:$E$77</c:f>
              <c:numCache>
                <c:formatCode>General</c:formatCode>
                <c:ptCount val="12"/>
                <c:pt idx="0">
                  <c:v>0.25162185650000002</c:v>
                </c:pt>
                <c:pt idx="1">
                  <c:v>0.143199613</c:v>
                </c:pt>
                <c:pt idx="2">
                  <c:v>0.13481973250000001</c:v>
                </c:pt>
                <c:pt idx="3">
                  <c:v>0.30849999950000001</c:v>
                </c:pt>
                <c:pt idx="4">
                  <c:v>0.26645241749999998</c:v>
                </c:pt>
                <c:pt idx="5">
                  <c:v>0.381715576</c:v>
                </c:pt>
                <c:pt idx="6">
                  <c:v>1.1476197925</c:v>
                </c:pt>
                <c:pt idx="7">
                  <c:v>4.6082184955000001</c:v>
                </c:pt>
                <c:pt idx="8">
                  <c:v>26.379284829999996</c:v>
                </c:pt>
                <c:pt idx="9">
                  <c:v>63.763076499999997</c:v>
                </c:pt>
                <c:pt idx="10">
                  <c:v>75.860435899999999</c:v>
                </c:pt>
                <c:pt idx="11">
                  <c:v>95.723334170000001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8B-4D4A-AAFD-7FC6F6366E8C}"/>
            </c:ext>
          </c:extLst>
        </c:ser>
        <c:ser>
          <c:idx val="1"/>
          <c:order val="1"/>
          <c:tx>
            <c:strRef>
              <c:f>Data!$F$13</c:f>
              <c:strCache>
                <c:ptCount val="1"/>
                <c:pt idx="0">
                  <c:v>Pred Signal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8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Data!$D$66:$D$77</c:f>
              <c:numCache>
                <c:formatCode>0.00000</c:formatCode>
                <c:ptCount val="12"/>
                <c:pt idx="0">
                  <c:v>100</c:v>
                </c:pt>
                <c:pt idx="1">
                  <c:v>33.333329999999997</c:v>
                </c:pt>
                <c:pt idx="2">
                  <c:v>11.11111</c:v>
                </c:pt>
                <c:pt idx="3">
                  <c:v>3.7037040000000001</c:v>
                </c:pt>
                <c:pt idx="4">
                  <c:v>1.2345680000000001</c:v>
                </c:pt>
                <c:pt idx="5">
                  <c:v>0.41152300000000003</c:v>
                </c:pt>
                <c:pt idx="6">
                  <c:v>0.13717399999999999</c:v>
                </c:pt>
                <c:pt idx="7">
                  <c:v>4.5725000000000002E-2</c:v>
                </c:pt>
                <c:pt idx="8">
                  <c:v>1.5242E-2</c:v>
                </c:pt>
                <c:pt idx="9">
                  <c:v>5.0809999999999996E-3</c:v>
                </c:pt>
                <c:pt idx="10">
                  <c:v>1.694E-3</c:v>
                </c:pt>
                <c:pt idx="11">
                  <c:v>5.6466666666666666E-4</c:v>
                </c:pt>
              </c:numCache>
            </c:numRef>
          </c:xVal>
          <c:yVal>
            <c:numRef>
              <c:f>Data!$F$66:$F$77</c:f>
              <c:numCache>
                <c:formatCode>0.000</c:formatCode>
                <c:ptCount val="12"/>
                <c:pt idx="0">
                  <c:v>1.1106734081557567E-58</c:v>
                </c:pt>
                <c:pt idx="1">
                  <c:v>7.8146102051644182E-56</c:v>
                </c:pt>
                <c:pt idx="2">
                  <c:v>2.097491772029805E-49</c:v>
                </c:pt>
                <c:pt idx="3">
                  <c:v>2.7812044115170092E-37</c:v>
                </c:pt>
                <c:pt idx="4">
                  <c:v>9.3182933178991962E-22</c:v>
                </c:pt>
                <c:pt idx="5">
                  <c:v>2.0406308943086095E-9</c:v>
                </c:pt>
                <c:pt idx="6">
                  <c:v>7.1938572954567829E-3</c:v>
                </c:pt>
                <c:pt idx="7">
                  <c:v>3.4756358854593685</c:v>
                </c:pt>
                <c:pt idx="8">
                  <c:v>32.063356083784974</c:v>
                </c:pt>
                <c:pt idx="9">
                  <c:v>68.378076824195972</c:v>
                </c:pt>
                <c:pt idx="10">
                  <c:v>88.138266696457961</c:v>
                </c:pt>
                <c:pt idx="11">
                  <c:v>95.935081069772195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8B-4D4A-AAFD-7FC6F6366E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2322656"/>
        <c:axId val="1742324928"/>
      </c:scatterChart>
      <c:valAx>
        <c:axId val="174232265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Data!$D$13</c:f>
              <c:strCache>
                <c:ptCount val="1"/>
                <c:pt idx="0">
                  <c:v>[Inhibitor] (µM)</c:v>
                </c:pt>
              </c:strCache>
            </c:strRef>
          </c:tx>
          <c:layout>
            <c:manualLayout>
              <c:xMode val="edge"/>
              <c:yMode val="edge"/>
              <c:x val="0.36664202994597145"/>
              <c:y val="0.945038167938931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.0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42324928"/>
        <c:crosses val="autoZero"/>
        <c:crossBetween val="midCat"/>
      </c:valAx>
      <c:valAx>
        <c:axId val="17423249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Data!$E$13</c:f>
              <c:strCache>
                <c:ptCount val="1"/>
                <c:pt idx="0">
                  <c:v>Signal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42322656"/>
        <c:crossesAt val="1.0000000000000004E-6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5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164781470789761E-2"/>
          <c:y val="1.984732824427481E-2"/>
          <c:w val="0.71590146809394906"/>
          <c:h val="0.78681122146163895"/>
        </c:manualLayout>
      </c:layout>
      <c:scatterChart>
        <c:scatterStyle val="lineMarker"/>
        <c:varyColors val="0"/>
        <c:ser>
          <c:idx val="0"/>
          <c:order val="0"/>
          <c:tx>
            <c:strRef>
              <c:f>Data!$E$13</c:f>
              <c:strCache>
                <c:ptCount val="1"/>
                <c:pt idx="0">
                  <c:v>Signal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Data!$D$79:$D$89</c:f>
              <c:numCache>
                <c:formatCode>0.00000</c:formatCode>
                <c:ptCount val="11"/>
              </c:numCache>
            </c:numRef>
          </c:xVal>
          <c:yVal>
            <c:numRef>
              <c:f>Data!$E$79:$E$89</c:f>
              <c:numCache>
                <c:formatCode>General</c:formatCode>
                <c:ptCount val="1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8B-4D4A-AAFD-7FC6F6366E8C}"/>
            </c:ext>
          </c:extLst>
        </c:ser>
        <c:ser>
          <c:idx val="1"/>
          <c:order val="1"/>
          <c:tx>
            <c:strRef>
              <c:f>Data!$F$13</c:f>
              <c:strCache>
                <c:ptCount val="1"/>
                <c:pt idx="0">
                  <c:v>Pred Signal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8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Data!$D$79:$D$89</c:f>
              <c:numCache>
                <c:formatCode>0.00000</c:formatCode>
                <c:ptCount val="11"/>
              </c:numCache>
            </c:numRef>
          </c:xVal>
          <c:yVal>
            <c:numRef>
              <c:f>Data!$F$79:$F$89</c:f>
              <c:numCache>
                <c:formatCode>0.000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8B-4D4A-AAFD-7FC6F6366E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2322656"/>
        <c:axId val="1742324928"/>
      </c:scatterChart>
      <c:valAx>
        <c:axId val="174232265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Data!$D$13</c:f>
              <c:strCache>
                <c:ptCount val="1"/>
                <c:pt idx="0">
                  <c:v>[Inhibitor] (µM)</c:v>
                </c:pt>
              </c:strCache>
            </c:strRef>
          </c:tx>
          <c:layout>
            <c:manualLayout>
              <c:xMode val="edge"/>
              <c:yMode val="edge"/>
              <c:x val="0.36664202994597145"/>
              <c:y val="0.945038167938931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.0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42324928"/>
        <c:crosses val="autoZero"/>
        <c:crossBetween val="midCat"/>
      </c:valAx>
      <c:valAx>
        <c:axId val="17423249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Data!$E$13</c:f>
              <c:strCache>
                <c:ptCount val="1"/>
                <c:pt idx="0">
                  <c:v>Signal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42322656"/>
        <c:crossesAt val="1.0000000000000004E-6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5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164781470789761E-2"/>
          <c:y val="1.984732824427481E-2"/>
          <c:w val="0.71590146809394906"/>
          <c:h val="0.78681122146163895"/>
        </c:manualLayout>
      </c:layout>
      <c:scatterChart>
        <c:scatterStyle val="lineMarker"/>
        <c:varyColors val="0"/>
        <c:ser>
          <c:idx val="0"/>
          <c:order val="0"/>
          <c:tx>
            <c:strRef>
              <c:f>Data!$E$13</c:f>
              <c:strCache>
                <c:ptCount val="1"/>
                <c:pt idx="0">
                  <c:v>Signal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Data!$D$14:$D$25</c:f>
              <c:numCache>
                <c:formatCode>0.00000</c:formatCode>
                <c:ptCount val="12"/>
                <c:pt idx="0">
                  <c:v>100</c:v>
                </c:pt>
                <c:pt idx="1">
                  <c:v>33.333329999999997</c:v>
                </c:pt>
                <c:pt idx="2">
                  <c:v>11.11111</c:v>
                </c:pt>
                <c:pt idx="3">
                  <c:v>3.7037040000000001</c:v>
                </c:pt>
                <c:pt idx="4">
                  <c:v>1.2345680000000001</c:v>
                </c:pt>
                <c:pt idx="5">
                  <c:v>0.41152300000000003</c:v>
                </c:pt>
                <c:pt idx="6">
                  <c:v>0.13717399999999999</c:v>
                </c:pt>
                <c:pt idx="7">
                  <c:v>4.5725000000000002E-2</c:v>
                </c:pt>
                <c:pt idx="8">
                  <c:v>1.5242E-2</c:v>
                </c:pt>
                <c:pt idx="9">
                  <c:v>5.0809999999999996E-3</c:v>
                </c:pt>
                <c:pt idx="10">
                  <c:v>1.694E-3</c:v>
                </c:pt>
                <c:pt idx="11">
                  <c:v>5.6466666666666666E-4</c:v>
                </c:pt>
              </c:numCache>
            </c:numRef>
          </c:xVal>
          <c:yVal>
            <c:numRef>
              <c:f>Data!$E$14:$E$25</c:f>
              <c:numCache>
                <c:formatCode>General</c:formatCode>
                <c:ptCount val="12"/>
                <c:pt idx="0">
                  <c:v>1.1436647010000001</c:v>
                </c:pt>
                <c:pt idx="1">
                  <c:v>3.1005792889999997</c:v>
                </c:pt>
                <c:pt idx="2">
                  <c:v>0.2169684945</c:v>
                </c:pt>
                <c:pt idx="3">
                  <c:v>1.2822188365</c:v>
                </c:pt>
                <c:pt idx="4">
                  <c:v>5.2644760884999995</c:v>
                </c:pt>
                <c:pt idx="5">
                  <c:v>20.518364484999999</c:v>
                </c:pt>
                <c:pt idx="6">
                  <c:v>57.313320864999994</c:v>
                </c:pt>
                <c:pt idx="7">
                  <c:v>91.067250234999989</c:v>
                </c:pt>
                <c:pt idx="8">
                  <c:v>95.593534699999992</c:v>
                </c:pt>
                <c:pt idx="9">
                  <c:v>90.229874300000006</c:v>
                </c:pt>
                <c:pt idx="10">
                  <c:v>94.363867479999996</c:v>
                </c:pt>
                <c:pt idx="11">
                  <c:v>89.673060000000007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BE-9D41-9FF7-58B917D35546}"/>
            </c:ext>
          </c:extLst>
        </c:ser>
        <c:ser>
          <c:idx val="1"/>
          <c:order val="1"/>
          <c:tx>
            <c:strRef>
              <c:f>Data!$F$13</c:f>
              <c:strCache>
                <c:ptCount val="1"/>
                <c:pt idx="0">
                  <c:v>Pred Signal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8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Data!$D$14:$D$25</c:f>
              <c:numCache>
                <c:formatCode>0.00000</c:formatCode>
                <c:ptCount val="12"/>
                <c:pt idx="0">
                  <c:v>100</c:v>
                </c:pt>
                <c:pt idx="1">
                  <c:v>33.333329999999997</c:v>
                </c:pt>
                <c:pt idx="2">
                  <c:v>11.11111</c:v>
                </c:pt>
                <c:pt idx="3">
                  <c:v>3.7037040000000001</c:v>
                </c:pt>
                <c:pt idx="4">
                  <c:v>1.2345680000000001</c:v>
                </c:pt>
                <c:pt idx="5">
                  <c:v>0.41152300000000003</c:v>
                </c:pt>
                <c:pt idx="6">
                  <c:v>0.13717399999999999</c:v>
                </c:pt>
                <c:pt idx="7">
                  <c:v>4.5725000000000002E-2</c:v>
                </c:pt>
                <c:pt idx="8">
                  <c:v>1.5242E-2</c:v>
                </c:pt>
                <c:pt idx="9">
                  <c:v>5.0809999999999996E-3</c:v>
                </c:pt>
                <c:pt idx="10">
                  <c:v>1.694E-3</c:v>
                </c:pt>
                <c:pt idx="11">
                  <c:v>5.6466666666666666E-4</c:v>
                </c:pt>
              </c:numCache>
            </c:numRef>
          </c:xVal>
          <c:yVal>
            <c:numRef>
              <c:f>Data!$F$14:$F$25</c:f>
              <c:numCache>
                <c:formatCode>0.000</c:formatCode>
                <c:ptCount val="12"/>
                <c:pt idx="0">
                  <c:v>2.1434029698235314E-2</c:v>
                </c:pt>
                <c:pt idx="1">
                  <c:v>6.5967920979849382E-2</c:v>
                </c:pt>
                <c:pt idx="2">
                  <c:v>0.21240018709072606</c:v>
                </c:pt>
                <c:pt idx="3">
                  <c:v>0.75492675142862287</c:v>
                </c:pt>
                <c:pt idx="4">
                  <c:v>3.0499956329349738</c:v>
                </c:pt>
                <c:pt idx="5">
                  <c:v>12.473991459708152</c:v>
                </c:pt>
                <c:pt idx="6">
                  <c:v>38.391679039502108</c:v>
                </c:pt>
                <c:pt idx="7">
                  <c:v>69.690599817616061</c:v>
                </c:pt>
                <c:pt idx="8">
                  <c:v>88.246614154446334</c:v>
                </c:pt>
                <c:pt idx="9">
                  <c:v>95.917462661681753</c:v>
                </c:pt>
                <c:pt idx="10">
                  <c:v>98.672687817199531</c:v>
                </c:pt>
                <c:pt idx="11">
                  <c:v>99.614846721103817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0BE-9D41-9FF7-58B917D35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2322656"/>
        <c:axId val="1742324928"/>
      </c:scatterChart>
      <c:valAx>
        <c:axId val="174232265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Data!$D$13</c:f>
              <c:strCache>
                <c:ptCount val="1"/>
                <c:pt idx="0">
                  <c:v>[Inhibitor] (µM)</c:v>
                </c:pt>
              </c:strCache>
            </c:strRef>
          </c:tx>
          <c:layout>
            <c:manualLayout>
              <c:xMode val="edge"/>
              <c:yMode val="edge"/>
              <c:x val="0.36664202994597145"/>
              <c:y val="0.945038167938931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.0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42324928"/>
        <c:crosses val="autoZero"/>
        <c:crossBetween val="midCat"/>
      </c:valAx>
      <c:valAx>
        <c:axId val="17423249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Data!$E$13</c:f>
              <c:strCache>
                <c:ptCount val="1"/>
                <c:pt idx="0">
                  <c:v>Signal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42322656"/>
        <c:crossesAt val="1.0000000000000004E-6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5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164781470789761E-2"/>
          <c:y val="1.984732824427481E-2"/>
          <c:w val="0.71590146809394906"/>
          <c:h val="0.78681122146163895"/>
        </c:manualLayout>
      </c:layout>
      <c:scatterChart>
        <c:scatterStyle val="lineMarker"/>
        <c:varyColors val="0"/>
        <c:ser>
          <c:idx val="0"/>
          <c:order val="0"/>
          <c:tx>
            <c:strRef>
              <c:f>Data!$E$13</c:f>
              <c:strCache>
                <c:ptCount val="1"/>
                <c:pt idx="0">
                  <c:v>Signal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Data!$D$27:$D$38</c:f>
              <c:numCache>
                <c:formatCode>0.00000</c:formatCode>
                <c:ptCount val="12"/>
                <c:pt idx="0">
                  <c:v>100</c:v>
                </c:pt>
                <c:pt idx="1">
                  <c:v>33.333329999999997</c:v>
                </c:pt>
                <c:pt idx="2">
                  <c:v>11.11111</c:v>
                </c:pt>
                <c:pt idx="3">
                  <c:v>3.7037040000000001</c:v>
                </c:pt>
                <c:pt idx="4">
                  <c:v>1.2345680000000001</c:v>
                </c:pt>
                <c:pt idx="5">
                  <c:v>0.41152300000000003</c:v>
                </c:pt>
                <c:pt idx="6">
                  <c:v>0.13717399999999999</c:v>
                </c:pt>
                <c:pt idx="7">
                  <c:v>4.5725000000000002E-2</c:v>
                </c:pt>
                <c:pt idx="8">
                  <c:v>1.5242E-2</c:v>
                </c:pt>
                <c:pt idx="9">
                  <c:v>5.0809999999999996E-3</c:v>
                </c:pt>
                <c:pt idx="10">
                  <c:v>1.694E-3</c:v>
                </c:pt>
                <c:pt idx="11">
                  <c:v>5.6466666666666666E-4</c:v>
                </c:pt>
              </c:numCache>
            </c:numRef>
          </c:xVal>
          <c:yVal>
            <c:numRef>
              <c:f>Data!$E$27:$E$38</c:f>
              <c:numCache>
                <c:formatCode>General</c:formatCode>
                <c:ptCount val="12"/>
                <c:pt idx="0">
                  <c:v>0.79526985699999997</c:v>
                </c:pt>
                <c:pt idx="1">
                  <c:v>1.4876140550000001</c:v>
                </c:pt>
                <c:pt idx="2">
                  <c:v>0.11150184099999999</c:v>
                </c:pt>
                <c:pt idx="3">
                  <c:v>0.85481757299999994</c:v>
                </c:pt>
                <c:pt idx="4">
                  <c:v>3.0838375254999999</c:v>
                </c:pt>
                <c:pt idx="5">
                  <c:v>12.3844970265</c:v>
                </c:pt>
                <c:pt idx="6">
                  <c:v>39.349150444999999</c:v>
                </c:pt>
                <c:pt idx="7">
                  <c:v>66.328025804999996</c:v>
                </c:pt>
                <c:pt idx="8">
                  <c:v>80.230896924999996</c:v>
                </c:pt>
                <c:pt idx="9">
                  <c:v>90.006021820000001</c:v>
                </c:pt>
                <c:pt idx="10">
                  <c:v>101.946782575</c:v>
                </c:pt>
                <c:pt idx="11">
                  <c:v>121.6502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DF-9C4E-A754-5ABB70070C3C}"/>
            </c:ext>
          </c:extLst>
        </c:ser>
        <c:ser>
          <c:idx val="1"/>
          <c:order val="1"/>
          <c:tx>
            <c:strRef>
              <c:f>Data!$F$13</c:f>
              <c:strCache>
                <c:ptCount val="1"/>
                <c:pt idx="0">
                  <c:v>Pred Signal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8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Data!$D$27:$D$38</c:f>
              <c:numCache>
                <c:formatCode>0.00000</c:formatCode>
                <c:ptCount val="12"/>
                <c:pt idx="0">
                  <c:v>100</c:v>
                </c:pt>
                <c:pt idx="1">
                  <c:v>33.333329999999997</c:v>
                </c:pt>
                <c:pt idx="2">
                  <c:v>11.11111</c:v>
                </c:pt>
                <c:pt idx="3">
                  <c:v>3.7037040000000001</c:v>
                </c:pt>
                <c:pt idx="4">
                  <c:v>1.2345680000000001</c:v>
                </c:pt>
                <c:pt idx="5">
                  <c:v>0.41152300000000003</c:v>
                </c:pt>
                <c:pt idx="6">
                  <c:v>0.13717399999999999</c:v>
                </c:pt>
                <c:pt idx="7">
                  <c:v>4.5725000000000002E-2</c:v>
                </c:pt>
                <c:pt idx="8">
                  <c:v>1.5242E-2</c:v>
                </c:pt>
                <c:pt idx="9">
                  <c:v>5.0809999999999996E-3</c:v>
                </c:pt>
                <c:pt idx="10">
                  <c:v>1.694E-3</c:v>
                </c:pt>
                <c:pt idx="11">
                  <c:v>5.6466666666666666E-4</c:v>
                </c:pt>
              </c:numCache>
            </c:numRef>
          </c:xVal>
          <c:yVal>
            <c:numRef>
              <c:f>Data!$F$27:$F$38</c:f>
              <c:numCache>
                <c:formatCode>0.000</c:formatCode>
                <c:ptCount val="12"/>
                <c:pt idx="0">
                  <c:v>3.3233816430595555E-3</c:v>
                </c:pt>
                <c:pt idx="1">
                  <c:v>1.064116643889251E-2</c:v>
                </c:pt>
                <c:pt idx="2">
                  <c:v>3.8215514628607741E-2</c:v>
                </c:pt>
                <c:pt idx="3">
                  <c:v>0.17636175503270832</c:v>
                </c:pt>
                <c:pt idx="4">
                  <c:v>1.1242345101924074</c:v>
                </c:pt>
                <c:pt idx="5">
                  <c:v>7.4616960752053823</c:v>
                </c:pt>
                <c:pt idx="6">
                  <c:v>31.153361541718414</c:v>
                </c:pt>
                <c:pt idx="7">
                  <c:v>64.652518709992947</c:v>
                </c:pt>
                <c:pt idx="8">
                  <c:v>86.010532777416444</c:v>
                </c:pt>
                <c:pt idx="9">
                  <c:v>95.093246937276007</c:v>
                </c:pt>
                <c:pt idx="10">
                  <c:v>98.3883687274148</c:v>
                </c:pt>
                <c:pt idx="11">
                  <c:v>99.518984351366328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9DF-9C4E-A754-5ABB70070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2322656"/>
        <c:axId val="1742324928"/>
      </c:scatterChart>
      <c:valAx>
        <c:axId val="174232265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Data!$D$13</c:f>
              <c:strCache>
                <c:ptCount val="1"/>
                <c:pt idx="0">
                  <c:v>[Inhibitor] (µM)</c:v>
                </c:pt>
              </c:strCache>
            </c:strRef>
          </c:tx>
          <c:layout>
            <c:manualLayout>
              <c:xMode val="edge"/>
              <c:yMode val="edge"/>
              <c:x val="0.36664202994597145"/>
              <c:y val="0.945038167938931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.0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42324928"/>
        <c:crosses val="autoZero"/>
        <c:crossBetween val="midCat"/>
      </c:valAx>
      <c:valAx>
        <c:axId val="17423249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Data!$E$13</c:f>
              <c:strCache>
                <c:ptCount val="1"/>
                <c:pt idx="0">
                  <c:v>Signal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42322656"/>
        <c:crossesAt val="1.0000000000000004E-6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5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164781470789761E-2"/>
          <c:y val="1.984732824427481E-2"/>
          <c:w val="0.71590146809394906"/>
          <c:h val="0.78681122146163895"/>
        </c:manualLayout>
      </c:layout>
      <c:scatterChart>
        <c:scatterStyle val="lineMarker"/>
        <c:varyColors val="0"/>
        <c:ser>
          <c:idx val="0"/>
          <c:order val="0"/>
          <c:tx>
            <c:strRef>
              <c:f>Data!$E$13</c:f>
              <c:strCache>
                <c:ptCount val="1"/>
                <c:pt idx="0">
                  <c:v>Signal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Data!$D$40:$D$51</c:f>
              <c:numCache>
                <c:formatCode>0.00000</c:formatCode>
                <c:ptCount val="12"/>
                <c:pt idx="0">
                  <c:v>100</c:v>
                </c:pt>
                <c:pt idx="1">
                  <c:v>33.333329999999997</c:v>
                </c:pt>
                <c:pt idx="2">
                  <c:v>11.11111</c:v>
                </c:pt>
                <c:pt idx="3">
                  <c:v>3.7037040000000001</c:v>
                </c:pt>
                <c:pt idx="4">
                  <c:v>1.2345680000000001</c:v>
                </c:pt>
                <c:pt idx="5">
                  <c:v>0.41152300000000003</c:v>
                </c:pt>
                <c:pt idx="6">
                  <c:v>0.13717399999999999</c:v>
                </c:pt>
                <c:pt idx="7">
                  <c:v>4.5725000000000002E-2</c:v>
                </c:pt>
                <c:pt idx="8">
                  <c:v>1.5242E-2</c:v>
                </c:pt>
                <c:pt idx="9">
                  <c:v>5.0809999999999996E-3</c:v>
                </c:pt>
                <c:pt idx="10">
                  <c:v>1.694E-3</c:v>
                </c:pt>
                <c:pt idx="11">
                  <c:v>5.6466666666666666E-4</c:v>
                </c:pt>
              </c:numCache>
            </c:numRef>
          </c:xVal>
          <c:yVal>
            <c:numRef>
              <c:f>Data!$E$40:$E$51</c:f>
              <c:numCache>
                <c:formatCode>General</c:formatCode>
                <c:ptCount val="12"/>
                <c:pt idx="0">
                  <c:v>0.25690124149999999</c:v>
                </c:pt>
                <c:pt idx="1">
                  <c:v>0.28590910800000002</c:v>
                </c:pt>
                <c:pt idx="2">
                  <c:v>9.8224644500000013E-2</c:v>
                </c:pt>
                <c:pt idx="3">
                  <c:v>0.2471713505</c:v>
                </c:pt>
                <c:pt idx="4">
                  <c:v>0.40474643349999995</c:v>
                </c:pt>
                <c:pt idx="5">
                  <c:v>2.0808797819999998</c:v>
                </c:pt>
                <c:pt idx="6">
                  <c:v>10.256192799000001</c:v>
                </c:pt>
                <c:pt idx="7">
                  <c:v>35.851141429999998</c:v>
                </c:pt>
                <c:pt idx="8">
                  <c:v>72.761814770000001</c:v>
                </c:pt>
                <c:pt idx="9">
                  <c:v>79.744913545000003</c:v>
                </c:pt>
                <c:pt idx="10">
                  <c:v>91.937301079999997</c:v>
                </c:pt>
                <c:pt idx="11">
                  <c:v>96.054882460000002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A1-6345-B2F1-FCCD1BD74C4F}"/>
            </c:ext>
          </c:extLst>
        </c:ser>
        <c:ser>
          <c:idx val="1"/>
          <c:order val="1"/>
          <c:tx>
            <c:strRef>
              <c:f>Data!$F$13</c:f>
              <c:strCache>
                <c:ptCount val="1"/>
                <c:pt idx="0">
                  <c:v>Pred Signal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8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Data!$D$40:$D$51</c:f>
              <c:numCache>
                <c:formatCode>0.00000</c:formatCode>
                <c:ptCount val="12"/>
                <c:pt idx="0">
                  <c:v>100</c:v>
                </c:pt>
                <c:pt idx="1">
                  <c:v>33.333329999999997</c:v>
                </c:pt>
                <c:pt idx="2">
                  <c:v>11.11111</c:v>
                </c:pt>
                <c:pt idx="3">
                  <c:v>3.7037040000000001</c:v>
                </c:pt>
                <c:pt idx="4">
                  <c:v>1.2345680000000001</c:v>
                </c:pt>
                <c:pt idx="5">
                  <c:v>0.41152300000000003</c:v>
                </c:pt>
                <c:pt idx="6">
                  <c:v>0.13717399999999999</c:v>
                </c:pt>
                <c:pt idx="7">
                  <c:v>4.5725000000000002E-2</c:v>
                </c:pt>
                <c:pt idx="8">
                  <c:v>1.5242E-2</c:v>
                </c:pt>
                <c:pt idx="9">
                  <c:v>5.0809999999999996E-3</c:v>
                </c:pt>
                <c:pt idx="10">
                  <c:v>1.694E-3</c:v>
                </c:pt>
                <c:pt idx="11">
                  <c:v>5.6466666666666666E-4</c:v>
                </c:pt>
              </c:numCache>
            </c:numRef>
          </c:xVal>
          <c:yVal>
            <c:numRef>
              <c:f>Data!$F$40:$F$51</c:f>
              <c:numCache>
                <c:formatCode>0.000</c:formatCode>
                <c:ptCount val="12"/>
                <c:pt idx="0">
                  <c:v>1.70158553699572E-7</c:v>
                </c:pt>
                <c:pt idx="1">
                  <c:v>6.8035066029806829E-7</c:v>
                </c:pt>
                <c:pt idx="2">
                  <c:v>4.4977772469712912E-6</c:v>
                </c:pt>
                <c:pt idx="3">
                  <c:v>8.7747221573894458E-5</c:v>
                </c:pt>
                <c:pt idx="4">
                  <c:v>6.545357041051348E-3</c:v>
                </c:pt>
                <c:pt idx="5">
                  <c:v>0.54801886616866091</c:v>
                </c:pt>
                <c:pt idx="6">
                  <c:v>10.877601458414965</c:v>
                </c:pt>
                <c:pt idx="7">
                  <c:v>44.383064994684382</c:v>
                </c:pt>
                <c:pt idx="8">
                  <c:v>75.648371965241154</c:v>
                </c:pt>
                <c:pt idx="9">
                  <c:v>91.079305846271964</c:v>
                </c:pt>
                <c:pt idx="10">
                  <c:v>96.980213377494138</c:v>
                </c:pt>
                <c:pt idx="11">
                  <c:v>99.041514931448972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4A1-6345-B2F1-FCCD1BD74C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2322656"/>
        <c:axId val="1742324928"/>
      </c:scatterChart>
      <c:valAx>
        <c:axId val="174232265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Data!$D$13</c:f>
              <c:strCache>
                <c:ptCount val="1"/>
                <c:pt idx="0">
                  <c:v>[Inhibitor] (µM)</c:v>
                </c:pt>
              </c:strCache>
            </c:strRef>
          </c:tx>
          <c:layout>
            <c:manualLayout>
              <c:xMode val="edge"/>
              <c:yMode val="edge"/>
              <c:x val="0.36664202994597145"/>
              <c:y val="0.945038167938931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.0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42324928"/>
        <c:crosses val="autoZero"/>
        <c:crossBetween val="midCat"/>
      </c:valAx>
      <c:valAx>
        <c:axId val="17423249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Data!$E$13</c:f>
              <c:strCache>
                <c:ptCount val="1"/>
                <c:pt idx="0">
                  <c:v>Signal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42322656"/>
        <c:crossesAt val="1.0000000000000004E-6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5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164781470789761E-2"/>
          <c:y val="1.984732824427481E-2"/>
          <c:w val="0.71590146809394906"/>
          <c:h val="0.78681122146163895"/>
        </c:manualLayout>
      </c:layout>
      <c:scatterChart>
        <c:scatterStyle val="lineMarker"/>
        <c:varyColors val="0"/>
        <c:ser>
          <c:idx val="0"/>
          <c:order val="0"/>
          <c:tx>
            <c:strRef>
              <c:f>Data!$E$13</c:f>
              <c:strCache>
                <c:ptCount val="1"/>
                <c:pt idx="0">
                  <c:v>Signal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Data!$D$53:$D$64</c:f>
              <c:numCache>
                <c:formatCode>0.00000</c:formatCode>
                <c:ptCount val="12"/>
                <c:pt idx="0">
                  <c:v>100</c:v>
                </c:pt>
                <c:pt idx="1">
                  <c:v>33.333329999999997</c:v>
                </c:pt>
                <c:pt idx="2">
                  <c:v>11.11111</c:v>
                </c:pt>
                <c:pt idx="3">
                  <c:v>3.7037040000000001</c:v>
                </c:pt>
                <c:pt idx="4">
                  <c:v>1.2345680000000001</c:v>
                </c:pt>
                <c:pt idx="5">
                  <c:v>0.41152300000000003</c:v>
                </c:pt>
                <c:pt idx="6">
                  <c:v>0.13717399999999999</c:v>
                </c:pt>
                <c:pt idx="7">
                  <c:v>4.5725000000000002E-2</c:v>
                </c:pt>
                <c:pt idx="8">
                  <c:v>1.5242E-2</c:v>
                </c:pt>
                <c:pt idx="9">
                  <c:v>5.0809999999999996E-3</c:v>
                </c:pt>
                <c:pt idx="10">
                  <c:v>1.694E-3</c:v>
                </c:pt>
                <c:pt idx="11">
                  <c:v>5.6466666666666666E-4</c:v>
                </c:pt>
              </c:numCache>
            </c:numRef>
          </c:xVal>
          <c:yVal>
            <c:numRef>
              <c:f>Data!$E$53:$E$64</c:f>
              <c:numCache>
                <c:formatCode>General</c:formatCode>
                <c:ptCount val="12"/>
                <c:pt idx="0">
                  <c:v>0.19764401649999999</c:v>
                </c:pt>
                <c:pt idx="1">
                  <c:v>0.31809100749999997</c:v>
                </c:pt>
                <c:pt idx="2">
                  <c:v>-3.3476829499999999E-2</c:v>
                </c:pt>
                <c:pt idx="3">
                  <c:v>0.29182462549999999</c:v>
                </c:pt>
                <c:pt idx="4">
                  <c:v>0.1743961235</c:v>
                </c:pt>
                <c:pt idx="5">
                  <c:v>0.690491572</c:v>
                </c:pt>
                <c:pt idx="6">
                  <c:v>1.8096546230000001</c:v>
                </c:pt>
                <c:pt idx="7">
                  <c:v>10.84644973</c:v>
                </c:pt>
                <c:pt idx="8">
                  <c:v>46.115170469999995</c:v>
                </c:pt>
                <c:pt idx="9">
                  <c:v>71.397878794999997</c:v>
                </c:pt>
                <c:pt idx="10">
                  <c:v>88.400413825000001</c:v>
                </c:pt>
                <c:pt idx="11">
                  <c:v>95.772197480000003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05-5546-9204-31CB6F7C5376}"/>
            </c:ext>
          </c:extLst>
        </c:ser>
        <c:ser>
          <c:idx val="1"/>
          <c:order val="1"/>
          <c:tx>
            <c:strRef>
              <c:f>Data!$F$13</c:f>
              <c:strCache>
                <c:ptCount val="1"/>
                <c:pt idx="0">
                  <c:v>Pred Signal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8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Data!$D$53:$D$64</c:f>
              <c:numCache>
                <c:formatCode>0.00000</c:formatCode>
                <c:ptCount val="12"/>
                <c:pt idx="0">
                  <c:v>100</c:v>
                </c:pt>
                <c:pt idx="1">
                  <c:v>33.333329999999997</c:v>
                </c:pt>
                <c:pt idx="2">
                  <c:v>11.11111</c:v>
                </c:pt>
                <c:pt idx="3">
                  <c:v>3.7037040000000001</c:v>
                </c:pt>
                <c:pt idx="4">
                  <c:v>1.2345680000000001</c:v>
                </c:pt>
                <c:pt idx="5">
                  <c:v>0.41152300000000003</c:v>
                </c:pt>
                <c:pt idx="6">
                  <c:v>0.13717399999999999</c:v>
                </c:pt>
                <c:pt idx="7">
                  <c:v>4.5725000000000002E-2</c:v>
                </c:pt>
                <c:pt idx="8">
                  <c:v>1.5242E-2</c:v>
                </c:pt>
                <c:pt idx="9">
                  <c:v>5.0809999999999996E-3</c:v>
                </c:pt>
                <c:pt idx="10">
                  <c:v>1.694E-3</c:v>
                </c:pt>
                <c:pt idx="11">
                  <c:v>5.6466666666666666E-4</c:v>
                </c:pt>
              </c:numCache>
            </c:numRef>
          </c:xVal>
          <c:yVal>
            <c:numRef>
              <c:f>Data!$F$53:$F$64</c:f>
              <c:numCache>
                <c:formatCode>0.000</c:formatCode>
                <c:ptCount val="12"/>
                <c:pt idx="0">
                  <c:v>1.4119725695421607E-21</c:v>
                </c:pt>
                <c:pt idx="1">
                  <c:v>1.3874686775575026E-20</c:v>
                </c:pt>
                <c:pt idx="2">
                  <c:v>1.0309310174338542E-18</c:v>
                </c:pt>
                <c:pt idx="3">
                  <c:v>4.6292441578392827E-15</c:v>
                </c:pt>
                <c:pt idx="4">
                  <c:v>1.6754221662427223E-9</c:v>
                </c:pt>
                <c:pt idx="5">
                  <c:v>3.636705304602807E-4</c:v>
                </c:pt>
                <c:pt idx="6">
                  <c:v>0.62038245112279777</c:v>
                </c:pt>
                <c:pt idx="7">
                  <c:v>16.152816147785604</c:v>
                </c:pt>
                <c:pt idx="8">
                  <c:v>53.695465441442529</c:v>
                </c:pt>
                <c:pt idx="9">
                  <c:v>81.198638950802021</c:v>
                </c:pt>
                <c:pt idx="10">
                  <c:v>93.332078304373283</c:v>
                </c:pt>
                <c:pt idx="11">
                  <c:v>97.783106392391431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A05-5546-9204-31CB6F7C53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2322656"/>
        <c:axId val="1742324928"/>
      </c:scatterChart>
      <c:valAx>
        <c:axId val="174232265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Data!$D$13</c:f>
              <c:strCache>
                <c:ptCount val="1"/>
                <c:pt idx="0">
                  <c:v>[Inhibitor] (µM)</c:v>
                </c:pt>
              </c:strCache>
            </c:strRef>
          </c:tx>
          <c:layout>
            <c:manualLayout>
              <c:xMode val="edge"/>
              <c:yMode val="edge"/>
              <c:x val="0.36664202994597145"/>
              <c:y val="0.945038167938931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.0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42324928"/>
        <c:crosses val="autoZero"/>
        <c:crossBetween val="midCat"/>
      </c:valAx>
      <c:valAx>
        <c:axId val="17423249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Data!$E$13</c:f>
              <c:strCache>
                <c:ptCount val="1"/>
                <c:pt idx="0">
                  <c:v>Signal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42322656"/>
        <c:crossesAt val="1.0000000000000004E-6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5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164781470789761E-2"/>
          <c:y val="1.984732824427481E-2"/>
          <c:w val="0.71590146809394906"/>
          <c:h val="0.78681122146163895"/>
        </c:manualLayout>
      </c:layout>
      <c:scatterChart>
        <c:scatterStyle val="lineMarker"/>
        <c:varyColors val="0"/>
        <c:ser>
          <c:idx val="0"/>
          <c:order val="0"/>
          <c:tx>
            <c:strRef>
              <c:f>Data!$E$13</c:f>
              <c:strCache>
                <c:ptCount val="1"/>
                <c:pt idx="0">
                  <c:v>Signal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Data!$D$66:$D$77</c:f>
              <c:numCache>
                <c:formatCode>0.00000</c:formatCode>
                <c:ptCount val="12"/>
                <c:pt idx="0">
                  <c:v>100</c:v>
                </c:pt>
                <c:pt idx="1">
                  <c:v>33.333329999999997</c:v>
                </c:pt>
                <c:pt idx="2">
                  <c:v>11.11111</c:v>
                </c:pt>
                <c:pt idx="3">
                  <c:v>3.7037040000000001</c:v>
                </c:pt>
                <c:pt idx="4">
                  <c:v>1.2345680000000001</c:v>
                </c:pt>
                <c:pt idx="5">
                  <c:v>0.41152300000000003</c:v>
                </c:pt>
                <c:pt idx="6">
                  <c:v>0.13717399999999999</c:v>
                </c:pt>
                <c:pt idx="7">
                  <c:v>4.5725000000000002E-2</c:v>
                </c:pt>
                <c:pt idx="8">
                  <c:v>1.5242E-2</c:v>
                </c:pt>
                <c:pt idx="9">
                  <c:v>5.0809999999999996E-3</c:v>
                </c:pt>
                <c:pt idx="10">
                  <c:v>1.694E-3</c:v>
                </c:pt>
                <c:pt idx="11">
                  <c:v>5.6466666666666666E-4</c:v>
                </c:pt>
              </c:numCache>
            </c:numRef>
          </c:xVal>
          <c:yVal>
            <c:numRef>
              <c:f>Data!$E$66:$E$77</c:f>
              <c:numCache>
                <c:formatCode>General</c:formatCode>
                <c:ptCount val="12"/>
                <c:pt idx="0">
                  <c:v>0.25162185650000002</c:v>
                </c:pt>
                <c:pt idx="1">
                  <c:v>0.143199613</c:v>
                </c:pt>
                <c:pt idx="2">
                  <c:v>0.13481973250000001</c:v>
                </c:pt>
                <c:pt idx="3">
                  <c:v>0.30849999950000001</c:v>
                </c:pt>
                <c:pt idx="4">
                  <c:v>0.26645241749999998</c:v>
                </c:pt>
                <c:pt idx="5">
                  <c:v>0.381715576</c:v>
                </c:pt>
                <c:pt idx="6">
                  <c:v>1.1476197925</c:v>
                </c:pt>
                <c:pt idx="7">
                  <c:v>4.6082184955000001</c:v>
                </c:pt>
                <c:pt idx="8">
                  <c:v>26.379284829999996</c:v>
                </c:pt>
                <c:pt idx="9">
                  <c:v>63.763076499999997</c:v>
                </c:pt>
                <c:pt idx="10">
                  <c:v>75.860435899999999</c:v>
                </c:pt>
                <c:pt idx="11">
                  <c:v>95.723334170000001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F2-6C44-A73C-77E15CE586CD}"/>
            </c:ext>
          </c:extLst>
        </c:ser>
        <c:ser>
          <c:idx val="1"/>
          <c:order val="1"/>
          <c:tx>
            <c:strRef>
              <c:f>Data!$F$13</c:f>
              <c:strCache>
                <c:ptCount val="1"/>
                <c:pt idx="0">
                  <c:v>Pred Signal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8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Data!$D$66:$D$77</c:f>
              <c:numCache>
                <c:formatCode>0.00000</c:formatCode>
                <c:ptCount val="12"/>
                <c:pt idx="0">
                  <c:v>100</c:v>
                </c:pt>
                <c:pt idx="1">
                  <c:v>33.333329999999997</c:v>
                </c:pt>
                <c:pt idx="2">
                  <c:v>11.11111</c:v>
                </c:pt>
                <c:pt idx="3">
                  <c:v>3.7037040000000001</c:v>
                </c:pt>
                <c:pt idx="4">
                  <c:v>1.2345680000000001</c:v>
                </c:pt>
                <c:pt idx="5">
                  <c:v>0.41152300000000003</c:v>
                </c:pt>
                <c:pt idx="6">
                  <c:v>0.13717399999999999</c:v>
                </c:pt>
                <c:pt idx="7">
                  <c:v>4.5725000000000002E-2</c:v>
                </c:pt>
                <c:pt idx="8">
                  <c:v>1.5242E-2</c:v>
                </c:pt>
                <c:pt idx="9">
                  <c:v>5.0809999999999996E-3</c:v>
                </c:pt>
                <c:pt idx="10">
                  <c:v>1.694E-3</c:v>
                </c:pt>
                <c:pt idx="11">
                  <c:v>5.6466666666666666E-4</c:v>
                </c:pt>
              </c:numCache>
            </c:numRef>
          </c:xVal>
          <c:yVal>
            <c:numRef>
              <c:f>Data!$F$66:$F$77</c:f>
              <c:numCache>
                <c:formatCode>0.000</c:formatCode>
                <c:ptCount val="12"/>
                <c:pt idx="0">
                  <c:v>1.1106734081557567E-58</c:v>
                </c:pt>
                <c:pt idx="1">
                  <c:v>7.8146102051644182E-56</c:v>
                </c:pt>
                <c:pt idx="2">
                  <c:v>2.097491772029805E-49</c:v>
                </c:pt>
                <c:pt idx="3">
                  <c:v>2.7812044115170092E-37</c:v>
                </c:pt>
                <c:pt idx="4">
                  <c:v>9.3182933178991962E-22</c:v>
                </c:pt>
                <c:pt idx="5">
                  <c:v>2.0406308943086095E-9</c:v>
                </c:pt>
                <c:pt idx="6">
                  <c:v>7.1938572954567829E-3</c:v>
                </c:pt>
                <c:pt idx="7">
                  <c:v>3.4756358854593685</c:v>
                </c:pt>
                <c:pt idx="8">
                  <c:v>32.063356083784974</c:v>
                </c:pt>
                <c:pt idx="9">
                  <c:v>68.378076824195972</c:v>
                </c:pt>
                <c:pt idx="10">
                  <c:v>88.138266696457961</c:v>
                </c:pt>
                <c:pt idx="11">
                  <c:v>95.935081069772195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EF2-6C44-A73C-77E15CE586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2322656"/>
        <c:axId val="1742324928"/>
      </c:scatterChart>
      <c:valAx>
        <c:axId val="174232265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Data!$D$13</c:f>
              <c:strCache>
                <c:ptCount val="1"/>
                <c:pt idx="0">
                  <c:v>[Inhibitor] (µM)</c:v>
                </c:pt>
              </c:strCache>
            </c:strRef>
          </c:tx>
          <c:layout>
            <c:manualLayout>
              <c:xMode val="edge"/>
              <c:yMode val="edge"/>
              <c:x val="0.36664202994597145"/>
              <c:y val="0.945038167938931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.0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42324928"/>
        <c:crosses val="autoZero"/>
        <c:crossBetween val="midCat"/>
      </c:valAx>
      <c:valAx>
        <c:axId val="17423249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Data!$E$13</c:f>
              <c:strCache>
                <c:ptCount val="1"/>
                <c:pt idx="0">
                  <c:v>Signal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42322656"/>
        <c:crossesAt val="1.0000000000000004E-6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5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164781470789761E-2"/>
          <c:y val="1.984732824427481E-2"/>
          <c:w val="0.71590146809394906"/>
          <c:h val="0.78681122146163895"/>
        </c:manualLayout>
      </c:layout>
      <c:scatterChart>
        <c:scatterStyle val="lineMarker"/>
        <c:varyColors val="0"/>
        <c:ser>
          <c:idx val="0"/>
          <c:order val="0"/>
          <c:tx>
            <c:strRef>
              <c:f>Data!$E$13</c:f>
              <c:strCache>
                <c:ptCount val="1"/>
                <c:pt idx="0">
                  <c:v>Signal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Data!$D$79:$D$89</c:f>
              <c:numCache>
                <c:formatCode>0.00000</c:formatCode>
                <c:ptCount val="11"/>
              </c:numCache>
            </c:numRef>
          </c:xVal>
          <c:yVal>
            <c:numRef>
              <c:f>Data!$E$79:$E$89</c:f>
              <c:numCache>
                <c:formatCode>General</c:formatCode>
                <c:ptCount val="1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E5-E543-A3F3-D2C7D44280B2}"/>
            </c:ext>
          </c:extLst>
        </c:ser>
        <c:ser>
          <c:idx val="1"/>
          <c:order val="1"/>
          <c:tx>
            <c:strRef>
              <c:f>Data!$F$13</c:f>
              <c:strCache>
                <c:ptCount val="1"/>
                <c:pt idx="0">
                  <c:v>Pred Signal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8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Data!$D$79:$D$89</c:f>
              <c:numCache>
                <c:formatCode>0.00000</c:formatCode>
                <c:ptCount val="11"/>
              </c:numCache>
            </c:numRef>
          </c:xVal>
          <c:yVal>
            <c:numRef>
              <c:f>Data!$F$79:$F$89</c:f>
              <c:numCache>
                <c:formatCode>0.000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E5-E543-A3F3-D2C7D44280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2322656"/>
        <c:axId val="1742324928"/>
      </c:scatterChart>
      <c:valAx>
        <c:axId val="174232265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Data!$D$13</c:f>
              <c:strCache>
                <c:ptCount val="1"/>
                <c:pt idx="0">
                  <c:v>[Inhibitor] (µM)</c:v>
                </c:pt>
              </c:strCache>
            </c:strRef>
          </c:tx>
          <c:layout>
            <c:manualLayout>
              <c:xMode val="edge"/>
              <c:yMode val="edge"/>
              <c:x val="0.36664202994597145"/>
              <c:y val="0.945038167938931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.0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42324928"/>
        <c:crosses val="autoZero"/>
        <c:crossBetween val="midCat"/>
      </c:valAx>
      <c:valAx>
        <c:axId val="17423249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Data!$E$13</c:f>
              <c:strCache>
                <c:ptCount val="1"/>
                <c:pt idx="0">
                  <c:v>Signal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42322656"/>
        <c:crossesAt val="1.0000000000000004E-6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5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101600</xdr:colOff>
      <xdr:row>12</xdr:row>
      <xdr:rowOff>114300</xdr:rowOff>
    </xdr:from>
    <xdr:to>
      <xdr:col>14</xdr:col>
      <xdr:colOff>101600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21488E3-8A5E-4D47-BF02-1D20766522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101600</xdr:colOff>
      <xdr:row>25</xdr:row>
      <xdr:rowOff>190500</xdr:rowOff>
    </xdr:from>
    <xdr:to>
      <xdr:col>14</xdr:col>
      <xdr:colOff>101600</xdr:colOff>
      <xdr:row>38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9C29B90-9E36-7ABC-6050-02616D0034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101600</xdr:colOff>
      <xdr:row>38</xdr:row>
      <xdr:rowOff>177800</xdr:rowOff>
    </xdr:from>
    <xdr:to>
      <xdr:col>14</xdr:col>
      <xdr:colOff>101600</xdr:colOff>
      <xdr:row>51</xdr:row>
      <xdr:rowOff>63500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B1B6FEC-5087-4053-730C-655983B66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139700</xdr:colOff>
      <xdr:row>51</xdr:row>
      <xdr:rowOff>165100</xdr:rowOff>
    </xdr:from>
    <xdr:to>
      <xdr:col>14</xdr:col>
      <xdr:colOff>139700</xdr:colOff>
      <xdr:row>64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B86494C-01A1-BD7D-C410-125F6139A0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127000</xdr:colOff>
      <xdr:row>64</xdr:row>
      <xdr:rowOff>177800</xdr:rowOff>
    </xdr:from>
    <xdr:to>
      <xdr:col>14</xdr:col>
      <xdr:colOff>127000</xdr:colOff>
      <xdr:row>77</xdr:row>
      <xdr:rowOff>63500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881F63E-33B7-3168-AAF6-D8F95BF687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190500</xdr:colOff>
      <xdr:row>77</xdr:row>
      <xdr:rowOff>177800</xdr:rowOff>
    </xdr:from>
    <xdr:to>
      <xdr:col>14</xdr:col>
      <xdr:colOff>190500</xdr:colOff>
      <xdr:row>90</xdr:row>
      <xdr:rowOff>63500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91BDE48-DD34-3607-4532-B0E93B520B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3</xdr:col>
      <xdr:colOff>787400</xdr:colOff>
      <xdr:row>20</xdr:row>
      <xdr:rowOff>88900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BF77CAB-40E2-DE4D-9D6A-3271FDB213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8</xdr:row>
      <xdr:rowOff>0</xdr:rowOff>
    </xdr:from>
    <xdr:to>
      <xdr:col>9</xdr:col>
      <xdr:colOff>76200</xdr:colOff>
      <xdr:row>20</xdr:row>
      <xdr:rowOff>88900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4A5097A-F24E-B44B-BEBF-827D101F54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24</xdr:row>
      <xdr:rowOff>0</xdr:rowOff>
    </xdr:from>
    <xdr:to>
      <xdr:col>3</xdr:col>
      <xdr:colOff>787400</xdr:colOff>
      <xdr:row>36</xdr:row>
      <xdr:rowOff>88900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7B141A0-4EAF-AC4C-BB8A-A942E7127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24</xdr:row>
      <xdr:rowOff>0</xdr:rowOff>
    </xdr:from>
    <xdr:to>
      <xdr:col>9</xdr:col>
      <xdr:colOff>63500</xdr:colOff>
      <xdr:row>36</xdr:row>
      <xdr:rowOff>88900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353E9FD4-9E62-AD41-8B04-D292857D2F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40</xdr:row>
      <xdr:rowOff>0</xdr:rowOff>
    </xdr:from>
    <xdr:to>
      <xdr:col>3</xdr:col>
      <xdr:colOff>762000</xdr:colOff>
      <xdr:row>52</xdr:row>
      <xdr:rowOff>88900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2D2DC5F8-12A0-074C-B564-46A176379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40</xdr:row>
      <xdr:rowOff>0</xdr:rowOff>
    </xdr:from>
    <xdr:to>
      <xdr:col>9</xdr:col>
      <xdr:colOff>0</xdr:colOff>
      <xdr:row>52</xdr:row>
      <xdr:rowOff>88900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B1A0B00-EE72-4443-A051-8FCF784BAD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AC63-8C22-E442-AE2F-760DEB35657C}">
  <sheetPr codeName="Sheet1"/>
  <dimension ref="A1:C30"/>
  <sheetViews>
    <sheetView showGridLines="0" zoomScale="134" workbookViewId="0">
      <selection activeCell="A37" sqref="A37"/>
    </sheetView>
  </sheetViews>
  <sheetFormatPr defaultColWidth="10.90625" defaultRowHeight="15"/>
  <cols>
    <col min="1" max="1" width="36.7265625" customWidth="1"/>
    <col min="3" max="3" width="67.7265625" customWidth="1"/>
  </cols>
  <sheetData>
    <row r="1" spans="1:3" ht="15.6">
      <c r="A1" s="45" t="s">
        <v>33</v>
      </c>
      <c r="B1" s="45"/>
      <c r="C1" s="45"/>
    </row>
    <row r="2" spans="1:3" ht="15.6">
      <c r="A2" s="41" t="s">
        <v>35</v>
      </c>
      <c r="B2" s="10" t="s">
        <v>34</v>
      </c>
    </row>
    <row r="3" spans="1:3" ht="15.6">
      <c r="A3" s="41" t="s">
        <v>32</v>
      </c>
    </row>
    <row r="5" spans="1:3" ht="15.6">
      <c r="A5" s="42" t="s">
        <v>36</v>
      </c>
    </row>
    <row r="6" spans="1:3" ht="15.6">
      <c r="A6" s="41" t="s">
        <v>37</v>
      </c>
    </row>
    <row r="7" spans="1:3" ht="15.6">
      <c r="A7" s="41"/>
    </row>
    <row r="8" spans="1:3" ht="15.6">
      <c r="A8" s="41" t="s">
        <v>52</v>
      </c>
    </row>
    <row r="9" spans="1:3" ht="15.6">
      <c r="A9" s="41"/>
    </row>
    <row r="10" spans="1:3" ht="15.6">
      <c r="A10" s="41" t="s">
        <v>38</v>
      </c>
    </row>
    <row r="11" spans="1:3" ht="15.6">
      <c r="A11" s="41" t="s">
        <v>39</v>
      </c>
    </row>
    <row r="12" spans="1:3" ht="15.6">
      <c r="A12" s="41" t="s">
        <v>53</v>
      </c>
    </row>
    <row r="13" spans="1:3" ht="15.6">
      <c r="A13" s="41" t="s">
        <v>40</v>
      </c>
    </row>
    <row r="14" spans="1:3" ht="15.6">
      <c r="A14" s="41" t="s">
        <v>54</v>
      </c>
    </row>
    <row r="15" spans="1:3" ht="15.6">
      <c r="A15" s="41" t="s">
        <v>55</v>
      </c>
    </row>
    <row r="16" spans="1:3" ht="15.6">
      <c r="A16" s="41"/>
    </row>
    <row r="17" spans="1:1" ht="15.6">
      <c r="A17" s="41" t="s">
        <v>41</v>
      </c>
    </row>
    <row r="18" spans="1:1" ht="15.6">
      <c r="A18" s="41" t="s">
        <v>42</v>
      </c>
    </row>
    <row r="19" spans="1:1" ht="15.6">
      <c r="A19" s="41" t="s">
        <v>43</v>
      </c>
    </row>
    <row r="20" spans="1:1" ht="15.6">
      <c r="A20" s="41"/>
    </row>
    <row r="21" spans="1:1" ht="15.6">
      <c r="A21" s="41" t="s">
        <v>45</v>
      </c>
    </row>
    <row r="22" spans="1:1" ht="15.6">
      <c r="A22" s="41" t="s">
        <v>44</v>
      </c>
    </row>
    <row r="23" spans="1:1" ht="15.6">
      <c r="A23" s="41"/>
    </row>
    <row r="24" spans="1:1" ht="15.6">
      <c r="A24" s="41" t="s">
        <v>46</v>
      </c>
    </row>
    <row r="25" spans="1:1" ht="15.6">
      <c r="A25" s="41" t="s">
        <v>47</v>
      </c>
    </row>
    <row r="26" spans="1:1" ht="15.6">
      <c r="A26" s="41" t="s">
        <v>48</v>
      </c>
    </row>
    <row r="27" spans="1:1" ht="15.6">
      <c r="A27" s="41"/>
    </row>
    <row r="28" spans="1:1" ht="15.6">
      <c r="A28" s="41" t="s">
        <v>49</v>
      </c>
    </row>
    <row r="29" spans="1:1" ht="15.6">
      <c r="A29" s="41" t="s">
        <v>50</v>
      </c>
    </row>
    <row r="30" spans="1:1" ht="15.6">
      <c r="A30" s="41" t="s">
        <v>51</v>
      </c>
    </row>
  </sheetData>
  <mergeCells count="1">
    <mergeCell ref="A1:C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61E1E-5E7B-DF4D-BD41-6BFA5DF32778}">
  <sheetPr codeName="Sheet2"/>
  <dimension ref="A1:K90"/>
  <sheetViews>
    <sheetView tabSelected="1" workbookViewId="0">
      <selection activeCell="F9" sqref="F9"/>
    </sheetView>
  </sheetViews>
  <sheetFormatPr defaultColWidth="10.90625" defaultRowHeight="15"/>
  <cols>
    <col min="1" max="2" width="21.7265625" bestFit="1" customWidth="1"/>
    <col min="3" max="3" width="22" customWidth="1"/>
    <col min="4" max="4" width="13" bestFit="1" customWidth="1"/>
    <col min="5" max="5" width="12.26953125" customWidth="1"/>
    <col min="6" max="6" width="13.54296875" customWidth="1"/>
    <col min="7" max="7" width="15.26953125" bestFit="1" customWidth="1"/>
    <col min="8" max="8" width="12.1796875" bestFit="1" customWidth="1"/>
    <col min="10" max="10" width="13.1796875" customWidth="1"/>
  </cols>
  <sheetData>
    <row r="1" spans="1:11" ht="18">
      <c r="A1" s="2" t="s">
        <v>0</v>
      </c>
      <c r="B1" s="3" t="s">
        <v>59</v>
      </c>
      <c r="F1" s="6" t="s">
        <v>3</v>
      </c>
      <c r="G1" s="5">
        <v>0.61461170547203403</v>
      </c>
    </row>
    <row r="2" spans="1:11" ht="18">
      <c r="A2" s="2" t="s">
        <v>1</v>
      </c>
      <c r="B2" s="25">
        <v>45364</v>
      </c>
      <c r="F2" s="6" t="s">
        <v>5</v>
      </c>
      <c r="G2" s="5">
        <v>1.0722664836009574</v>
      </c>
    </row>
    <row r="3" spans="1:11" ht="18">
      <c r="F3" s="6" t="s">
        <v>14</v>
      </c>
      <c r="G3" s="29">
        <f>G1/G2</f>
        <v>0.57318932827966762</v>
      </c>
    </row>
    <row r="4" spans="1:11" ht="18">
      <c r="A4" s="4" t="s">
        <v>6</v>
      </c>
      <c r="B4" s="5">
        <v>1.43</v>
      </c>
      <c r="F4" s="6" t="s">
        <v>25</v>
      </c>
      <c r="G4" s="29">
        <f>G3*1000000/60</f>
        <v>9553.1554713277947</v>
      </c>
    </row>
    <row r="5" spans="1:11" ht="15.6">
      <c r="A5" s="4" t="s">
        <v>7</v>
      </c>
      <c r="B5" s="5">
        <v>2.0000000000000001E-4</v>
      </c>
      <c r="K5" s="35"/>
    </row>
    <row r="6" spans="1:11" ht="18">
      <c r="A6" s="4" t="s">
        <v>8</v>
      </c>
      <c r="B6" s="5">
        <v>11</v>
      </c>
    </row>
    <row r="7" spans="1:11" ht="18">
      <c r="A7" s="4" t="s">
        <v>9</v>
      </c>
      <c r="B7" s="5">
        <v>2.9</v>
      </c>
    </row>
    <row r="8" spans="1:11" ht="15.6">
      <c r="A8" s="4" t="s">
        <v>56</v>
      </c>
      <c r="B8" s="5">
        <v>8</v>
      </c>
      <c r="D8" s="7"/>
    </row>
    <row r="9" spans="1:11" ht="15.6">
      <c r="A9" s="4" t="s">
        <v>57</v>
      </c>
      <c r="B9" s="5">
        <v>10</v>
      </c>
      <c r="D9" s="7"/>
    </row>
    <row r="10" spans="1:11" ht="18">
      <c r="A10" s="4" t="s">
        <v>58</v>
      </c>
      <c r="B10" s="43">
        <f>B8/B9</f>
        <v>0.8</v>
      </c>
      <c r="G10" s="9" t="s">
        <v>27</v>
      </c>
      <c r="H10" s="8" t="s">
        <v>28</v>
      </c>
      <c r="I10" s="9" t="s">
        <v>24</v>
      </c>
      <c r="J10" s="9" t="s">
        <v>29</v>
      </c>
    </row>
    <row r="11" spans="1:11" ht="15.6">
      <c r="G11" s="38">
        <f>SUMSQ(G14:G90)</f>
        <v>2428.7846489251929</v>
      </c>
      <c r="H11" s="37">
        <f>SUMSQ(H14:H90)</f>
        <v>97312.882889952991</v>
      </c>
      <c r="I11" s="38">
        <f>1-(G11/H11)</f>
        <v>0.97504148909377397</v>
      </c>
      <c r="J11" s="39">
        <f>SQRT(G11/(COUNT(E14:E90)-1))</f>
        <v>6.4160612144217151</v>
      </c>
    </row>
    <row r="12" spans="1:11" ht="15.6">
      <c r="C12" s="27" t="s">
        <v>15</v>
      </c>
    </row>
    <row r="13" spans="1:11" ht="15.6">
      <c r="A13" s="8" t="s">
        <v>2</v>
      </c>
      <c r="B13" s="8" t="s">
        <v>4</v>
      </c>
      <c r="C13" s="8" t="s">
        <v>10</v>
      </c>
      <c r="D13" s="6" t="s">
        <v>11</v>
      </c>
      <c r="E13" s="9" t="s">
        <v>12</v>
      </c>
      <c r="F13" s="8" t="s">
        <v>13</v>
      </c>
      <c r="G13" s="8" t="s">
        <v>23</v>
      </c>
      <c r="H13" s="8" t="s">
        <v>26</v>
      </c>
    </row>
    <row r="14" spans="1:11" ht="15.6">
      <c r="A14" s="11">
        <v>2</v>
      </c>
      <c r="B14" s="11">
        <v>45</v>
      </c>
      <c r="C14" s="44">
        <v>3850</v>
      </c>
      <c r="D14" s="34">
        <v>100</v>
      </c>
      <c r="E14" s="10">
        <v>1.1436647010000001</v>
      </c>
      <c r="F14" s="28" cm="1">
        <f t="array" ref="F14">PreIncEndPoint(A14,$B$10,B14,$B$4,$B$5,$B$6,$B$7,D14,$G$1,$G$2)*C14</f>
        <v>2.1434029698235314E-2</v>
      </c>
      <c r="G14">
        <f>IF(E14="", "", E14-F14)</f>
        <v>1.1222306713017647</v>
      </c>
      <c r="H14" s="35">
        <f t="shared" ref="H14:H25" si="0">IF(E14="", "", E14-AVERAGE($E$14:$E$90))</f>
        <v>-32.905083430466668</v>
      </c>
    </row>
    <row r="15" spans="1:11" ht="15.6">
      <c r="A15" s="26">
        <f>IF(A$14="", "", A$14)</f>
        <v>2</v>
      </c>
      <c r="B15" s="26">
        <f>IF(B$14="", "", B$14)</f>
        <v>45</v>
      </c>
      <c r="C15" s="26">
        <f>IF(C$14="", "", C$14)</f>
        <v>3850</v>
      </c>
      <c r="D15" s="34">
        <v>33.333329999999997</v>
      </c>
      <c r="E15" s="3">
        <v>3.1005792889999997</v>
      </c>
      <c r="F15" s="28" cm="1">
        <f t="array" ref="F15">PreIncEndPoint(A15,$B$10,B15,$B$4,$B$5,$B$6,$B$7,D15,$G$1,$G$2)*C15</f>
        <v>6.5967920979849382E-2</v>
      </c>
      <c r="G15">
        <f t="shared" ref="G15:G38" si="1">IF(E15="", "", E15-F15)</f>
        <v>3.0346113680201503</v>
      </c>
      <c r="H15" s="35">
        <f t="shared" si="0"/>
        <v>-30.948168842466668</v>
      </c>
    </row>
    <row r="16" spans="1:11" ht="15.6">
      <c r="A16" s="26">
        <f t="shared" ref="A16:C25" si="2">IF(A$14="", "", A$14)</f>
        <v>2</v>
      </c>
      <c r="B16" s="26">
        <f t="shared" si="2"/>
        <v>45</v>
      </c>
      <c r="C16" s="26">
        <f t="shared" si="2"/>
        <v>3850</v>
      </c>
      <c r="D16" s="34">
        <v>11.11111</v>
      </c>
      <c r="E16" s="3">
        <v>0.2169684945</v>
      </c>
      <c r="F16" s="28" cm="1">
        <f t="array" ref="F16">PreIncEndPoint(A16,$B$10,B16,$B$4,$B$5,$B$6,$B$7,D16,$G$1,$G$2)*C16</f>
        <v>0.21240018709072606</v>
      </c>
      <c r="G16">
        <f t="shared" si="1"/>
        <v>4.5683074092739417E-3</v>
      </c>
      <c r="H16" s="35">
        <f t="shared" si="0"/>
        <v>-33.831779636966665</v>
      </c>
    </row>
    <row r="17" spans="1:8" ht="15.6">
      <c r="A17" s="26">
        <f t="shared" si="2"/>
        <v>2</v>
      </c>
      <c r="B17" s="26">
        <f t="shared" si="2"/>
        <v>45</v>
      </c>
      <c r="C17" s="26">
        <f t="shared" si="2"/>
        <v>3850</v>
      </c>
      <c r="D17" s="34">
        <v>3.7037040000000001</v>
      </c>
      <c r="E17" s="3">
        <v>1.2822188365</v>
      </c>
      <c r="F17" s="28" cm="1">
        <f t="array" ref="F17">PreIncEndPoint(A17,$B$10,B17,$B$4,$B$5,$B$6,$B$7,D17,$G$1,$G$2)*C17</f>
        <v>0.75492675142862287</v>
      </c>
      <c r="G17">
        <f t="shared" si="1"/>
        <v>0.52729208507137715</v>
      </c>
      <c r="H17" s="35">
        <f t="shared" si="0"/>
        <v>-32.766529294966666</v>
      </c>
    </row>
    <row r="18" spans="1:8" ht="15.6">
      <c r="A18" s="26">
        <f t="shared" si="2"/>
        <v>2</v>
      </c>
      <c r="B18" s="26">
        <f t="shared" si="2"/>
        <v>45</v>
      </c>
      <c r="C18" s="26">
        <f t="shared" si="2"/>
        <v>3850</v>
      </c>
      <c r="D18" s="34">
        <v>1.2345680000000001</v>
      </c>
      <c r="E18" s="3">
        <v>5.2644760884999995</v>
      </c>
      <c r="F18" s="28" cm="1">
        <f t="array" ref="F18">PreIncEndPoint(A18,$B$10,B18,$B$4,$B$5,$B$6,$B$7,D18,$G$1,$G$2)*C18</f>
        <v>3.0499956329349738</v>
      </c>
      <c r="G18">
        <f t="shared" si="1"/>
        <v>2.2144804555650257</v>
      </c>
      <c r="H18" s="35">
        <f t="shared" si="0"/>
        <v>-28.784272042966666</v>
      </c>
    </row>
    <row r="19" spans="1:8" ht="15.6">
      <c r="A19" s="26">
        <f t="shared" si="2"/>
        <v>2</v>
      </c>
      <c r="B19" s="26">
        <f t="shared" si="2"/>
        <v>45</v>
      </c>
      <c r="C19" s="26">
        <f t="shared" si="2"/>
        <v>3850</v>
      </c>
      <c r="D19" s="34">
        <v>0.41152300000000003</v>
      </c>
      <c r="E19" s="3">
        <v>20.518364484999999</v>
      </c>
      <c r="F19" s="28" cm="1">
        <f t="array" ref="F19">PreIncEndPoint(A19,$B$10,B19,$B$4,$B$5,$B$6,$B$7,D19,$G$1,$G$2)*C19</f>
        <v>12.473991459708152</v>
      </c>
      <c r="G19">
        <f t="shared" si="1"/>
        <v>8.0443730252918471</v>
      </c>
      <c r="H19" s="35">
        <f t="shared" si="0"/>
        <v>-13.530383646466667</v>
      </c>
    </row>
    <row r="20" spans="1:8" ht="15.6">
      <c r="A20" s="26">
        <f t="shared" si="2"/>
        <v>2</v>
      </c>
      <c r="B20" s="26">
        <f t="shared" si="2"/>
        <v>45</v>
      </c>
      <c r="C20" s="26">
        <f t="shared" si="2"/>
        <v>3850</v>
      </c>
      <c r="D20" s="34">
        <v>0.13717399999999999</v>
      </c>
      <c r="E20" s="3">
        <v>57.313320864999994</v>
      </c>
      <c r="F20" s="28" cm="1">
        <f t="array" ref="F20">PreIncEndPoint(A20,$B$10,B20,$B$4,$B$5,$B$6,$B$7,D20,$G$1,$G$2)*C20</f>
        <v>38.391679039502108</v>
      </c>
      <c r="G20">
        <f t="shared" si="1"/>
        <v>18.921641825497886</v>
      </c>
      <c r="H20" s="35">
        <f t="shared" si="0"/>
        <v>23.264572733533328</v>
      </c>
    </row>
    <row r="21" spans="1:8" ht="15.6">
      <c r="A21" s="26">
        <f t="shared" si="2"/>
        <v>2</v>
      </c>
      <c r="B21" s="26">
        <f t="shared" si="2"/>
        <v>45</v>
      </c>
      <c r="C21" s="26">
        <f t="shared" si="2"/>
        <v>3850</v>
      </c>
      <c r="D21" s="34">
        <v>4.5725000000000002E-2</v>
      </c>
      <c r="E21" s="3">
        <v>91.067250234999989</v>
      </c>
      <c r="F21" s="28" cm="1">
        <f t="array" ref="F21">PreIncEndPoint(A21,$B$10,B21,$B$4,$B$5,$B$6,$B$7,D21,$G$1,$G$2)*C21</f>
        <v>69.690599817616061</v>
      </c>
      <c r="G21">
        <f t="shared" si="1"/>
        <v>21.376650417383928</v>
      </c>
      <c r="H21" s="35">
        <f t="shared" si="0"/>
        <v>57.018502103533322</v>
      </c>
    </row>
    <row r="22" spans="1:8" ht="15.6">
      <c r="A22" s="26">
        <f t="shared" si="2"/>
        <v>2</v>
      </c>
      <c r="B22" s="26">
        <f t="shared" si="2"/>
        <v>45</v>
      </c>
      <c r="C22" s="26">
        <f t="shared" si="2"/>
        <v>3850</v>
      </c>
      <c r="D22" s="34">
        <v>1.5242E-2</v>
      </c>
      <c r="E22" s="3">
        <v>95.593534699999992</v>
      </c>
      <c r="F22" s="28" cm="1">
        <f t="array" ref="F22">PreIncEndPoint(A22,$B$10,B22,$B$4,$B$5,$B$6,$B$7,D22,$G$1,$G$2)*C22</f>
        <v>88.246614154446334</v>
      </c>
      <c r="G22">
        <f t="shared" si="1"/>
        <v>7.3469205455536581</v>
      </c>
      <c r="H22" s="35">
        <f t="shared" si="0"/>
        <v>61.544786568533326</v>
      </c>
    </row>
    <row r="23" spans="1:8" ht="15.6">
      <c r="A23" s="26">
        <f t="shared" si="2"/>
        <v>2</v>
      </c>
      <c r="B23" s="26">
        <f t="shared" si="2"/>
        <v>45</v>
      </c>
      <c r="C23" s="26">
        <f t="shared" si="2"/>
        <v>3850</v>
      </c>
      <c r="D23" s="34">
        <v>5.0809999999999996E-3</v>
      </c>
      <c r="E23" s="3">
        <v>90.229874300000006</v>
      </c>
      <c r="F23" s="28" cm="1">
        <f t="array" ref="F23">PreIncEndPoint(A23,$B$10,B23,$B$4,$B$5,$B$6,$B$7,D23,$G$1,$G$2)*C23</f>
        <v>95.917462661681753</v>
      </c>
      <c r="G23">
        <f t="shared" si="1"/>
        <v>-5.6875883616817475</v>
      </c>
      <c r="H23" s="35">
        <f t="shared" si="0"/>
        <v>56.181126168533339</v>
      </c>
    </row>
    <row r="24" spans="1:8" ht="15.6">
      <c r="A24" s="26">
        <f t="shared" si="2"/>
        <v>2</v>
      </c>
      <c r="B24" s="26">
        <f t="shared" si="2"/>
        <v>45</v>
      </c>
      <c r="C24" s="26">
        <f t="shared" si="2"/>
        <v>3850</v>
      </c>
      <c r="D24" s="34">
        <v>1.694E-3</v>
      </c>
      <c r="E24" s="3">
        <v>94.363867479999996</v>
      </c>
      <c r="F24" s="28" cm="1">
        <f t="array" ref="F24">PreIncEndPoint(A24,$B$10,B24,$B$4,$B$5,$B$6,$B$7,D24,$G$1,$G$2)*C24</f>
        <v>98.672687817199531</v>
      </c>
      <c r="G24">
        <f t="shared" si="1"/>
        <v>-4.3088203371995348</v>
      </c>
      <c r="H24" s="35">
        <f t="shared" si="0"/>
        <v>60.315119348533329</v>
      </c>
    </row>
    <row r="25" spans="1:8" ht="15.6">
      <c r="A25" s="26">
        <f t="shared" si="2"/>
        <v>2</v>
      </c>
      <c r="B25" s="26">
        <f t="shared" si="2"/>
        <v>45</v>
      </c>
      <c r="C25" s="26">
        <f t="shared" si="2"/>
        <v>3850</v>
      </c>
      <c r="D25" s="34">
        <v>5.6466666666666666E-4</v>
      </c>
      <c r="E25" s="3">
        <v>89.673060000000007</v>
      </c>
      <c r="F25" s="28" cm="1">
        <f t="array" ref="F25">PreIncEndPoint(A25,$B$10,B25,$B$4,$B$5,$B$6,$B$7,D25,$G$1,$G$2)*C25</f>
        <v>99.614846721103817</v>
      </c>
      <c r="G25">
        <f t="shared" si="1"/>
        <v>-9.94178672110381</v>
      </c>
      <c r="H25" s="35">
        <f t="shared" si="0"/>
        <v>55.62431186853334</v>
      </c>
    </row>
    <row r="26" spans="1:8" s="12" customFormat="1">
      <c r="H26" s="36"/>
    </row>
    <row r="27" spans="1:8" ht="15.6">
      <c r="A27" s="11">
        <v>5</v>
      </c>
      <c r="B27" s="11">
        <v>45</v>
      </c>
      <c r="C27" s="44">
        <v>3850</v>
      </c>
      <c r="D27" s="34">
        <v>100</v>
      </c>
      <c r="E27" s="10">
        <v>0.79526985699999997</v>
      </c>
      <c r="F27" s="28" cm="1">
        <f t="array" ref="F27">PreIncEndPoint(A27,$B$10,B27,$B$4,$B$5,$B$6,$B$7,D27,$G$1,$G$2)*C27</f>
        <v>3.3233816430595555E-3</v>
      </c>
      <c r="G27">
        <f t="shared" si="1"/>
        <v>0.7919464753569404</v>
      </c>
      <c r="H27" s="35">
        <f t="shared" ref="H27:H38" si="3">IF(E27="", "", E27-AVERAGE($E$14:$E$90))</f>
        <v>-33.253478274466666</v>
      </c>
    </row>
    <row r="28" spans="1:8" ht="15.6">
      <c r="A28" s="26">
        <f>IF(A$27="", "", A$27)</f>
        <v>5</v>
      </c>
      <c r="B28" s="26">
        <f>IF(B$27="", "", B$27)</f>
        <v>45</v>
      </c>
      <c r="C28" s="26">
        <f>IF(C$27="", "", C$27)</f>
        <v>3850</v>
      </c>
      <c r="D28" s="34">
        <v>33.333329999999997</v>
      </c>
      <c r="E28" s="3">
        <v>1.4876140550000001</v>
      </c>
      <c r="F28" s="28" cm="1">
        <f t="array" ref="F28">PreIncEndPoint(A28,$B$10,B28,$B$4,$B$5,$B$6,$B$7,D28,$G$1,$G$2)*C28</f>
        <v>1.064116643889251E-2</v>
      </c>
      <c r="G28">
        <f t="shared" si="1"/>
        <v>1.4769728885611075</v>
      </c>
      <c r="H28" s="35">
        <f t="shared" si="3"/>
        <v>-32.561134076466665</v>
      </c>
    </row>
    <row r="29" spans="1:8" ht="15.6">
      <c r="A29" s="26">
        <f t="shared" ref="A29:C38" si="4">IF(A$27="", "", A$27)</f>
        <v>5</v>
      </c>
      <c r="B29" s="26">
        <f t="shared" si="4"/>
        <v>45</v>
      </c>
      <c r="C29" s="26">
        <f t="shared" si="4"/>
        <v>3850</v>
      </c>
      <c r="D29" s="34">
        <v>11.11111</v>
      </c>
      <c r="E29" s="3">
        <v>0.11150184099999999</v>
      </c>
      <c r="F29" s="28" cm="1">
        <f t="array" ref="F29">PreIncEndPoint(A29,$B$10,B29,$B$4,$B$5,$B$6,$B$7,D29,$G$1,$G$2)*C29</f>
        <v>3.8215514628607741E-2</v>
      </c>
      <c r="G29">
        <f t="shared" si="1"/>
        <v>7.3286326371392249E-2</v>
      </c>
      <c r="H29" s="35">
        <f t="shared" si="3"/>
        <v>-33.937246290466668</v>
      </c>
    </row>
    <row r="30" spans="1:8" ht="15.6">
      <c r="A30" s="26">
        <f t="shared" si="4"/>
        <v>5</v>
      </c>
      <c r="B30" s="26">
        <f t="shared" si="4"/>
        <v>45</v>
      </c>
      <c r="C30" s="26">
        <f t="shared" si="4"/>
        <v>3850</v>
      </c>
      <c r="D30" s="34">
        <v>3.7037040000000001</v>
      </c>
      <c r="E30" s="3">
        <v>0.85481757299999994</v>
      </c>
      <c r="F30" s="28" cm="1">
        <f t="array" ref="F30">PreIncEndPoint(A30,$B$10,B30,$B$4,$B$5,$B$6,$B$7,D30,$G$1,$G$2)*C30</f>
        <v>0.17636175503270832</v>
      </c>
      <c r="G30">
        <f t="shared" si="1"/>
        <v>0.6784558179672916</v>
      </c>
      <c r="H30" s="35">
        <f t="shared" si="3"/>
        <v>-33.193930558466668</v>
      </c>
    </row>
    <row r="31" spans="1:8" ht="15.6">
      <c r="A31" s="26">
        <f t="shared" si="4"/>
        <v>5</v>
      </c>
      <c r="B31" s="26">
        <f t="shared" si="4"/>
        <v>45</v>
      </c>
      <c r="C31" s="26">
        <f t="shared" si="4"/>
        <v>3850</v>
      </c>
      <c r="D31" s="34">
        <v>1.2345680000000001</v>
      </c>
      <c r="E31" s="3">
        <v>3.0838375254999999</v>
      </c>
      <c r="F31" s="28" cm="1">
        <f t="array" ref="F31">PreIncEndPoint(A31,$B$10,B31,$B$4,$B$5,$B$6,$B$7,D31,$G$1,$G$2)*C31</f>
        <v>1.1242345101924074</v>
      </c>
      <c r="G31">
        <f t="shared" si="1"/>
        <v>1.9596030153075925</v>
      </c>
      <c r="H31" s="35">
        <f t="shared" si="3"/>
        <v>-30.964910605966665</v>
      </c>
    </row>
    <row r="32" spans="1:8" ht="15.6">
      <c r="A32" s="26">
        <f t="shared" si="4"/>
        <v>5</v>
      </c>
      <c r="B32" s="26">
        <f t="shared" si="4"/>
        <v>45</v>
      </c>
      <c r="C32" s="26">
        <f t="shared" si="4"/>
        <v>3850</v>
      </c>
      <c r="D32" s="34">
        <v>0.41152300000000003</v>
      </c>
      <c r="E32" s="3">
        <v>12.3844970265</v>
      </c>
      <c r="F32" s="28" cm="1">
        <f t="array" ref="F32">PreIncEndPoint(A32,$B$10,B32,$B$4,$B$5,$B$6,$B$7,D32,$G$1,$G$2)*C32</f>
        <v>7.4616960752053823</v>
      </c>
      <c r="G32">
        <f t="shared" si="1"/>
        <v>4.9228009512946178</v>
      </c>
      <c r="H32" s="35">
        <f t="shared" si="3"/>
        <v>-21.664251104966667</v>
      </c>
    </row>
    <row r="33" spans="1:8" ht="15.6">
      <c r="A33" s="26">
        <f t="shared" si="4"/>
        <v>5</v>
      </c>
      <c r="B33" s="26">
        <f t="shared" si="4"/>
        <v>45</v>
      </c>
      <c r="C33" s="26">
        <f t="shared" si="4"/>
        <v>3850</v>
      </c>
      <c r="D33" s="34">
        <v>0.13717399999999999</v>
      </c>
      <c r="E33" s="3">
        <v>39.349150444999999</v>
      </c>
      <c r="F33" s="28" cm="1">
        <f t="array" ref="F33">PreIncEndPoint(A33,$B$10,B33,$B$4,$B$5,$B$6,$B$7,D33,$G$1,$G$2)*C33</f>
        <v>31.153361541718414</v>
      </c>
      <c r="G33">
        <f t="shared" si="1"/>
        <v>8.1957889032815849</v>
      </c>
      <c r="H33" s="35">
        <f t="shared" si="3"/>
        <v>5.3004023135333327</v>
      </c>
    </row>
    <row r="34" spans="1:8" ht="15.6">
      <c r="A34" s="26">
        <f t="shared" si="4"/>
        <v>5</v>
      </c>
      <c r="B34" s="26">
        <f t="shared" si="4"/>
        <v>45</v>
      </c>
      <c r="C34" s="26">
        <f t="shared" si="4"/>
        <v>3850</v>
      </c>
      <c r="D34" s="34">
        <v>4.5725000000000002E-2</v>
      </c>
      <c r="E34" s="3">
        <v>66.328025804999996</v>
      </c>
      <c r="F34" s="28" cm="1">
        <f t="array" ref="F34">PreIncEndPoint(A34,$B$10,B34,$B$4,$B$5,$B$6,$B$7,D34,$G$1,$G$2)*C34</f>
        <v>64.652518709992947</v>
      </c>
      <c r="G34">
        <f t="shared" si="1"/>
        <v>1.675507095007049</v>
      </c>
      <c r="H34" s="35">
        <f t="shared" si="3"/>
        <v>32.279277673533329</v>
      </c>
    </row>
    <row r="35" spans="1:8" ht="15.6">
      <c r="A35" s="26">
        <f t="shared" si="4"/>
        <v>5</v>
      </c>
      <c r="B35" s="26">
        <f t="shared" si="4"/>
        <v>45</v>
      </c>
      <c r="C35" s="26">
        <f t="shared" si="4"/>
        <v>3850</v>
      </c>
      <c r="D35" s="34">
        <v>1.5242E-2</v>
      </c>
      <c r="E35" s="3">
        <v>80.230896924999996</v>
      </c>
      <c r="F35" s="28" cm="1">
        <f t="array" ref="F35">PreIncEndPoint(A35,$B$10,B35,$B$4,$B$5,$B$6,$B$7,D35,$G$1,$G$2)*C35</f>
        <v>86.010532777416444</v>
      </c>
      <c r="G35">
        <f t="shared" si="1"/>
        <v>-5.7796358524164475</v>
      </c>
      <c r="H35" s="35">
        <f t="shared" si="3"/>
        <v>46.182148793533329</v>
      </c>
    </row>
    <row r="36" spans="1:8" ht="15.6">
      <c r="A36" s="26">
        <f t="shared" si="4"/>
        <v>5</v>
      </c>
      <c r="B36" s="26">
        <f t="shared" si="4"/>
        <v>45</v>
      </c>
      <c r="C36" s="26">
        <f t="shared" si="4"/>
        <v>3850</v>
      </c>
      <c r="D36" s="34">
        <v>5.0809999999999996E-3</v>
      </c>
      <c r="E36" s="3">
        <v>90.006021820000001</v>
      </c>
      <c r="F36" s="28" cm="1">
        <f t="array" ref="F36">PreIncEndPoint(A36,$B$10,B36,$B$4,$B$5,$B$6,$B$7,D36,$G$1,$G$2)*C36</f>
        <v>95.093246937276007</v>
      </c>
      <c r="G36">
        <f t="shared" si="1"/>
        <v>-5.0872251172760059</v>
      </c>
      <c r="H36" s="35">
        <f t="shared" si="3"/>
        <v>55.957273688533334</v>
      </c>
    </row>
    <row r="37" spans="1:8" ht="15.6">
      <c r="A37" s="26">
        <f t="shared" si="4"/>
        <v>5</v>
      </c>
      <c r="B37" s="26">
        <f t="shared" si="4"/>
        <v>45</v>
      </c>
      <c r="C37" s="26">
        <f t="shared" si="4"/>
        <v>3850</v>
      </c>
      <c r="D37" s="34">
        <v>1.694E-3</v>
      </c>
      <c r="E37" s="3">
        <v>101.946782575</v>
      </c>
      <c r="F37" s="28" cm="1">
        <f t="array" ref="F37">PreIncEndPoint(A37,$B$10,B37,$B$4,$B$5,$B$6,$B$7,D37,$G$1,$G$2)*C37</f>
        <v>98.3883687274148</v>
      </c>
      <c r="G37">
        <f t="shared" si="1"/>
        <v>3.5584138475852001</v>
      </c>
      <c r="H37" s="35">
        <f t="shared" si="3"/>
        <v>67.898034443533334</v>
      </c>
    </row>
    <row r="38" spans="1:8" ht="15.6">
      <c r="A38" s="26">
        <f t="shared" si="4"/>
        <v>5</v>
      </c>
      <c r="B38" s="26">
        <f t="shared" si="4"/>
        <v>45</v>
      </c>
      <c r="C38" s="26">
        <f t="shared" si="4"/>
        <v>3850</v>
      </c>
      <c r="D38" s="34">
        <v>5.6466666666666666E-4</v>
      </c>
      <c r="E38" s="3">
        <v>121.6502</v>
      </c>
      <c r="F38" s="28" cm="1">
        <f t="array" ref="F38">PreIncEndPoint(A38,$B$10,B38,$B$4,$B$5,$B$6,$B$7,D38,$G$1,$G$2)*C38</f>
        <v>99.518984351366328</v>
      </c>
      <c r="G38">
        <f t="shared" si="1"/>
        <v>22.13121564863367</v>
      </c>
      <c r="H38" s="35">
        <f t="shared" si="3"/>
        <v>87.601451868533331</v>
      </c>
    </row>
    <row r="39" spans="1:8" s="12" customFormat="1">
      <c r="H39" s="36"/>
    </row>
    <row r="40" spans="1:8" ht="15.6">
      <c r="A40" s="11">
        <v>20</v>
      </c>
      <c r="B40" s="11">
        <v>45</v>
      </c>
      <c r="C40" s="44">
        <v>3850</v>
      </c>
      <c r="D40" s="34">
        <v>100</v>
      </c>
      <c r="E40" s="10">
        <v>0.25690124149999999</v>
      </c>
      <c r="F40" s="28" cm="1">
        <f t="array" ref="F40">PreIncEndPoint(A40,$B$10,B40,$B$4,$B$5,$B$6,$B$7,D40,$G$1,$G$2)*C40</f>
        <v>1.70158553699572E-7</v>
      </c>
      <c r="G40">
        <f t="shared" ref="G40:G51" si="5">IF(E40="", "", E40-F40)</f>
        <v>0.2569010713414463</v>
      </c>
      <c r="H40" s="35">
        <f t="shared" ref="H40:H51" si="6">IF(E40="", "", E40-AVERAGE($E$14:$E$90))</f>
        <v>-33.791846889966664</v>
      </c>
    </row>
    <row r="41" spans="1:8" ht="15.6">
      <c r="A41" s="26">
        <f>IF(A$40="", "", A$40)</f>
        <v>20</v>
      </c>
      <c r="B41" s="26">
        <f>IF(B$40="", "", B$40)</f>
        <v>45</v>
      </c>
      <c r="C41" s="26">
        <f>IF(C$40="", "", C$40)</f>
        <v>3850</v>
      </c>
      <c r="D41" s="34">
        <v>33.333329999999997</v>
      </c>
      <c r="E41" s="3">
        <v>0.28590910800000002</v>
      </c>
      <c r="F41" s="28" cm="1">
        <f t="array" ref="F41">PreIncEndPoint(A41,$B$10,B41,$B$4,$B$5,$B$6,$B$7,D41,$G$1,$G$2)*C41</f>
        <v>6.8035066029806829E-7</v>
      </c>
      <c r="G41">
        <f t="shared" si="5"/>
        <v>0.28590842764933971</v>
      </c>
      <c r="H41" s="35">
        <f t="shared" si="6"/>
        <v>-33.762839023466668</v>
      </c>
    </row>
    <row r="42" spans="1:8" ht="15.6">
      <c r="A42" s="26">
        <f t="shared" ref="A42:C51" si="7">IF(A$40="", "", A$40)</f>
        <v>20</v>
      </c>
      <c r="B42" s="26">
        <f t="shared" si="7"/>
        <v>45</v>
      </c>
      <c r="C42" s="26">
        <f t="shared" si="7"/>
        <v>3850</v>
      </c>
      <c r="D42" s="34">
        <v>11.11111</v>
      </c>
      <c r="E42" s="3">
        <v>9.8224644500000013E-2</v>
      </c>
      <c r="F42" s="28" cm="1">
        <f t="array" ref="F42">PreIncEndPoint(A42,$B$10,B42,$B$4,$B$5,$B$6,$B$7,D42,$G$1,$G$2)*C42</f>
        <v>4.4977772469712912E-6</v>
      </c>
      <c r="G42">
        <f t="shared" si="5"/>
        <v>9.8220146722753046E-2</v>
      </c>
      <c r="H42" s="35">
        <f t="shared" si="6"/>
        <v>-33.950523486966667</v>
      </c>
    </row>
    <row r="43" spans="1:8" ht="15.6">
      <c r="A43" s="26">
        <f t="shared" si="7"/>
        <v>20</v>
      </c>
      <c r="B43" s="26">
        <f t="shared" si="7"/>
        <v>45</v>
      </c>
      <c r="C43" s="26">
        <f t="shared" si="7"/>
        <v>3850</v>
      </c>
      <c r="D43" s="34">
        <v>3.7037040000000001</v>
      </c>
      <c r="E43" s="3">
        <v>0.2471713505</v>
      </c>
      <c r="F43" s="28" cm="1">
        <f t="array" ref="F43">PreIncEndPoint(A43,$B$10,B43,$B$4,$B$5,$B$6,$B$7,D43,$G$1,$G$2)*C43</f>
        <v>8.7747221573894458E-5</v>
      </c>
      <c r="G43">
        <f t="shared" si="5"/>
        <v>0.2470836032784261</v>
      </c>
      <c r="H43" s="35">
        <f t="shared" si="6"/>
        <v>-33.80157678096667</v>
      </c>
    </row>
    <row r="44" spans="1:8" ht="15.6">
      <c r="A44" s="26">
        <f t="shared" si="7"/>
        <v>20</v>
      </c>
      <c r="B44" s="26">
        <f t="shared" si="7"/>
        <v>45</v>
      </c>
      <c r="C44" s="26">
        <f t="shared" si="7"/>
        <v>3850</v>
      </c>
      <c r="D44" s="34">
        <v>1.2345680000000001</v>
      </c>
      <c r="E44" s="3">
        <v>0.40474643349999995</v>
      </c>
      <c r="F44" s="28" cm="1">
        <f t="array" ref="F44">PreIncEndPoint(A44,$B$10,B44,$B$4,$B$5,$B$6,$B$7,D44,$G$1,$G$2)*C44</f>
        <v>6.545357041051348E-3</v>
      </c>
      <c r="G44">
        <f t="shared" si="5"/>
        <v>0.39820107645894859</v>
      </c>
      <c r="H44" s="35">
        <f t="shared" si="6"/>
        <v>-33.644001697966665</v>
      </c>
    </row>
    <row r="45" spans="1:8" ht="15.6">
      <c r="A45" s="26">
        <f t="shared" si="7"/>
        <v>20</v>
      </c>
      <c r="B45" s="26">
        <f t="shared" si="7"/>
        <v>45</v>
      </c>
      <c r="C45" s="26">
        <f t="shared" si="7"/>
        <v>3850</v>
      </c>
      <c r="D45" s="34">
        <v>0.41152300000000003</v>
      </c>
      <c r="E45" s="3">
        <v>2.0808797819999998</v>
      </c>
      <c r="F45" s="28" cm="1">
        <f t="array" ref="F45">PreIncEndPoint(A45,$B$10,B45,$B$4,$B$5,$B$6,$B$7,D45,$G$1,$G$2)*C45</f>
        <v>0.54801886616866091</v>
      </c>
      <c r="G45">
        <f t="shared" si="5"/>
        <v>1.5328609158313389</v>
      </c>
      <c r="H45" s="35">
        <f t="shared" si="6"/>
        <v>-31.967868349466666</v>
      </c>
    </row>
    <row r="46" spans="1:8" ht="15.6">
      <c r="A46" s="26">
        <f t="shared" si="7"/>
        <v>20</v>
      </c>
      <c r="B46" s="26">
        <f t="shared" si="7"/>
        <v>45</v>
      </c>
      <c r="C46" s="26">
        <f t="shared" si="7"/>
        <v>3850</v>
      </c>
      <c r="D46" s="34">
        <v>0.13717399999999999</v>
      </c>
      <c r="E46" s="3">
        <v>10.256192799000001</v>
      </c>
      <c r="F46" s="28" cm="1">
        <f t="array" ref="F46">PreIncEndPoint(A46,$B$10,B46,$B$4,$B$5,$B$6,$B$7,D46,$G$1,$G$2)*C46</f>
        <v>10.877601458414965</v>
      </c>
      <c r="G46">
        <f t="shared" si="5"/>
        <v>-0.62140865941496415</v>
      </c>
      <c r="H46" s="35">
        <f t="shared" si="6"/>
        <v>-23.792555332466666</v>
      </c>
    </row>
    <row r="47" spans="1:8" ht="15.6">
      <c r="A47" s="26">
        <f t="shared" si="7"/>
        <v>20</v>
      </c>
      <c r="B47" s="26">
        <f t="shared" si="7"/>
        <v>45</v>
      </c>
      <c r="C47" s="26">
        <f t="shared" si="7"/>
        <v>3850</v>
      </c>
      <c r="D47" s="34">
        <v>4.5725000000000002E-2</v>
      </c>
      <c r="E47" s="3">
        <v>35.851141429999998</v>
      </c>
      <c r="F47" s="28" cm="1">
        <f t="array" ref="F47">PreIncEndPoint(A47,$B$10,B47,$B$4,$B$5,$B$6,$B$7,D47,$G$1,$G$2)*C47</f>
        <v>44.383064994684382</v>
      </c>
      <c r="G47">
        <f t="shared" si="5"/>
        <v>-8.5319235646843836</v>
      </c>
      <c r="H47" s="35">
        <f t="shared" si="6"/>
        <v>1.8023932985333317</v>
      </c>
    </row>
    <row r="48" spans="1:8" ht="15.6">
      <c r="A48" s="26">
        <f t="shared" si="7"/>
        <v>20</v>
      </c>
      <c r="B48" s="26">
        <f t="shared" si="7"/>
        <v>45</v>
      </c>
      <c r="C48" s="26">
        <f t="shared" si="7"/>
        <v>3850</v>
      </c>
      <c r="D48" s="34">
        <v>1.5242E-2</v>
      </c>
      <c r="E48" s="3">
        <v>72.761814770000001</v>
      </c>
      <c r="F48" s="28" cm="1">
        <f t="array" ref="F48">PreIncEndPoint(A48,$B$10,B48,$B$4,$B$5,$B$6,$B$7,D48,$G$1,$G$2)*C48</f>
        <v>75.648371965241154</v>
      </c>
      <c r="G48">
        <f t="shared" si="5"/>
        <v>-2.8865571952411528</v>
      </c>
      <c r="H48" s="35">
        <f t="shared" si="6"/>
        <v>38.713066638533334</v>
      </c>
    </row>
    <row r="49" spans="1:8" ht="15.6">
      <c r="A49" s="26">
        <f t="shared" si="7"/>
        <v>20</v>
      </c>
      <c r="B49" s="26">
        <f t="shared" si="7"/>
        <v>45</v>
      </c>
      <c r="C49" s="26">
        <f t="shared" si="7"/>
        <v>3850</v>
      </c>
      <c r="D49" s="34">
        <v>5.0809999999999996E-3</v>
      </c>
      <c r="E49" s="3">
        <v>79.744913545000003</v>
      </c>
      <c r="F49" s="28" cm="1">
        <f t="array" ref="F49">PreIncEndPoint(A49,$B$10,B49,$B$4,$B$5,$B$6,$B$7,D49,$G$1,$G$2)*C49</f>
        <v>91.079305846271964</v>
      </c>
      <c r="G49">
        <f t="shared" si="5"/>
        <v>-11.334392301271961</v>
      </c>
      <c r="H49" s="35">
        <f t="shared" si="6"/>
        <v>45.696165413533336</v>
      </c>
    </row>
    <row r="50" spans="1:8" ht="15.6">
      <c r="A50" s="26">
        <f t="shared" si="7"/>
        <v>20</v>
      </c>
      <c r="B50" s="26">
        <f t="shared" si="7"/>
        <v>45</v>
      </c>
      <c r="C50" s="26">
        <f t="shared" si="7"/>
        <v>3850</v>
      </c>
      <c r="D50" s="34">
        <v>1.694E-3</v>
      </c>
      <c r="E50" s="3">
        <v>91.937301079999997</v>
      </c>
      <c r="F50" s="28" cm="1">
        <f t="array" ref="F50">PreIncEndPoint(A50,$B$10,B50,$B$4,$B$5,$B$6,$B$7,D50,$G$1,$G$2)*C50</f>
        <v>96.980213377494138</v>
      </c>
      <c r="G50">
        <f t="shared" si="5"/>
        <v>-5.0429122974941407</v>
      </c>
      <c r="H50" s="35">
        <f t="shared" si="6"/>
        <v>57.888552948533331</v>
      </c>
    </row>
    <row r="51" spans="1:8" ht="15.6">
      <c r="A51" s="26">
        <f t="shared" si="7"/>
        <v>20</v>
      </c>
      <c r="B51" s="26">
        <f t="shared" si="7"/>
        <v>45</v>
      </c>
      <c r="C51" s="26">
        <f t="shared" si="7"/>
        <v>3850</v>
      </c>
      <c r="D51" s="34">
        <v>5.6466666666666666E-4</v>
      </c>
      <c r="E51" s="3">
        <v>96.054882460000002</v>
      </c>
      <c r="F51" s="28" cm="1">
        <f t="array" ref="F51">PreIncEndPoint(A51,$B$10,B51,$B$4,$B$5,$B$6,$B$7,D51,$G$1,$G$2)*C51</f>
        <v>99.041514931448972</v>
      </c>
      <c r="G51">
        <f t="shared" si="5"/>
        <v>-2.9866324714489707</v>
      </c>
      <c r="H51" s="35">
        <f t="shared" si="6"/>
        <v>62.006134328533335</v>
      </c>
    </row>
    <row r="52" spans="1:8" s="12" customFormat="1">
      <c r="H52" s="36"/>
    </row>
    <row r="53" spans="1:8" ht="15.6">
      <c r="A53" s="11">
        <v>60</v>
      </c>
      <c r="B53" s="11">
        <v>45</v>
      </c>
      <c r="C53" s="44">
        <v>3850</v>
      </c>
      <c r="D53" s="34">
        <v>100</v>
      </c>
      <c r="E53" s="10">
        <v>0.19764401649999999</v>
      </c>
      <c r="F53" s="28" cm="1">
        <f t="array" ref="F53">PreIncEndPoint(A53,$B$10,B53,$B$4,$B$5,$B$6,$B$7,D53,$G$1,$G$2)*C53</f>
        <v>1.4119725695421607E-21</v>
      </c>
      <c r="G53">
        <f t="shared" ref="G53:G64" si="8">IF(E53="", "", E53-F53)</f>
        <v>0.19764401649999999</v>
      </c>
      <c r="H53" s="35">
        <f t="shared" ref="H53:H64" si="9">IF(E53="", "", E53-AVERAGE($E$14:$E$90))</f>
        <v>-33.851104114966667</v>
      </c>
    </row>
    <row r="54" spans="1:8" ht="15.6">
      <c r="A54" s="26">
        <f>IF(A$53="", "", A$53)</f>
        <v>60</v>
      </c>
      <c r="B54" s="26">
        <f>IF(B$53="", "", B$53)</f>
        <v>45</v>
      </c>
      <c r="C54" s="26">
        <f>IF(C$53="", "", C$53)</f>
        <v>3850</v>
      </c>
      <c r="D54" s="34">
        <v>33.333329999999997</v>
      </c>
      <c r="E54" s="3">
        <v>0.31809100749999997</v>
      </c>
      <c r="F54" s="28" cm="1">
        <f t="array" ref="F54">PreIncEndPoint(A54,$B$10,B54,$B$4,$B$5,$B$6,$B$7,D54,$G$1,$G$2)*C54</f>
        <v>1.3874686775575026E-20</v>
      </c>
      <c r="G54">
        <f t="shared" si="8"/>
        <v>0.31809100749999997</v>
      </c>
      <c r="H54" s="35">
        <f t="shared" si="9"/>
        <v>-33.730657123966665</v>
      </c>
    </row>
    <row r="55" spans="1:8" ht="15.6">
      <c r="A55" s="26">
        <f t="shared" ref="A55:C64" si="10">IF(A$53="", "", A$53)</f>
        <v>60</v>
      </c>
      <c r="B55" s="26">
        <f t="shared" si="10"/>
        <v>45</v>
      </c>
      <c r="C55" s="26">
        <f t="shared" si="10"/>
        <v>3850</v>
      </c>
      <c r="D55" s="34">
        <v>11.11111</v>
      </c>
      <c r="E55" s="3">
        <v>-3.3476829499999999E-2</v>
      </c>
      <c r="F55" s="28" cm="1">
        <f t="array" ref="F55">PreIncEndPoint(A55,$B$10,B55,$B$4,$B$5,$B$6,$B$7,D55,$G$1,$G$2)*C55</f>
        <v>1.0309310174338542E-18</v>
      </c>
      <c r="G55">
        <f t="shared" si="8"/>
        <v>-3.3476829499999999E-2</v>
      </c>
      <c r="H55" s="35">
        <f t="shared" si="9"/>
        <v>-34.08222496096667</v>
      </c>
    </row>
    <row r="56" spans="1:8" ht="15.6">
      <c r="A56" s="26">
        <f t="shared" si="10"/>
        <v>60</v>
      </c>
      <c r="B56" s="26">
        <f t="shared" si="10"/>
        <v>45</v>
      </c>
      <c r="C56" s="26">
        <f t="shared" si="10"/>
        <v>3850</v>
      </c>
      <c r="D56" s="34">
        <v>3.7037040000000001</v>
      </c>
      <c r="E56" s="3">
        <v>0.29182462549999999</v>
      </c>
      <c r="F56" s="28" cm="1">
        <f t="array" ref="F56">PreIncEndPoint(A56,$B$10,B56,$B$4,$B$5,$B$6,$B$7,D56,$G$1,$G$2)*C56</f>
        <v>4.6292441578392827E-15</v>
      </c>
      <c r="G56">
        <f t="shared" si="8"/>
        <v>0.29182462549999538</v>
      </c>
      <c r="H56" s="35">
        <f t="shared" si="9"/>
        <v>-33.756923505966668</v>
      </c>
    </row>
    <row r="57" spans="1:8" ht="15.6">
      <c r="A57" s="26">
        <f t="shared" si="10"/>
        <v>60</v>
      </c>
      <c r="B57" s="26">
        <f t="shared" si="10"/>
        <v>45</v>
      </c>
      <c r="C57" s="26">
        <f t="shared" si="10"/>
        <v>3850</v>
      </c>
      <c r="D57" s="34">
        <v>1.2345680000000001</v>
      </c>
      <c r="E57" s="3">
        <v>0.1743961235</v>
      </c>
      <c r="F57" s="28" cm="1">
        <f t="array" ref="F57">PreIncEndPoint(A57,$B$10,B57,$B$4,$B$5,$B$6,$B$7,D57,$G$1,$G$2)*C57</f>
        <v>1.6754221662427223E-9</v>
      </c>
      <c r="G57">
        <f t="shared" si="8"/>
        <v>0.17439612182457784</v>
      </c>
      <c r="H57" s="35">
        <f t="shared" si="9"/>
        <v>-33.874352007966664</v>
      </c>
    </row>
    <row r="58" spans="1:8" ht="15.6">
      <c r="A58" s="26">
        <f t="shared" si="10"/>
        <v>60</v>
      </c>
      <c r="B58" s="26">
        <f t="shared" si="10"/>
        <v>45</v>
      </c>
      <c r="C58" s="26">
        <f t="shared" si="10"/>
        <v>3850</v>
      </c>
      <c r="D58" s="34">
        <v>0.41152300000000003</v>
      </c>
      <c r="E58" s="3">
        <v>0.690491572</v>
      </c>
      <c r="F58" s="28" cm="1">
        <f t="array" ref="F58">PreIncEndPoint(A58,$B$10,B58,$B$4,$B$5,$B$6,$B$7,D58,$G$1,$G$2)*C58</f>
        <v>3.636705304602807E-4</v>
      </c>
      <c r="G58">
        <f t="shared" si="8"/>
        <v>0.69012790146953973</v>
      </c>
      <c r="H58" s="35">
        <f t="shared" si="9"/>
        <v>-33.358256559466668</v>
      </c>
    </row>
    <row r="59" spans="1:8" ht="15.6">
      <c r="A59" s="26">
        <f t="shared" si="10"/>
        <v>60</v>
      </c>
      <c r="B59" s="26">
        <f t="shared" si="10"/>
        <v>45</v>
      </c>
      <c r="C59" s="26">
        <f t="shared" si="10"/>
        <v>3850</v>
      </c>
      <c r="D59" s="34">
        <v>0.13717399999999999</v>
      </c>
      <c r="E59" s="3">
        <v>1.8096546230000001</v>
      </c>
      <c r="F59" s="28" cm="1">
        <f t="array" ref="F59">PreIncEndPoint(A59,$B$10,B59,$B$4,$B$5,$B$6,$B$7,D59,$G$1,$G$2)*C59</f>
        <v>0.62038245112279777</v>
      </c>
      <c r="G59">
        <f t="shared" si="8"/>
        <v>1.1892721718772024</v>
      </c>
      <c r="H59" s="35">
        <f t="shared" si="9"/>
        <v>-32.239093508466667</v>
      </c>
    </row>
    <row r="60" spans="1:8" ht="15.6">
      <c r="A60" s="26">
        <f t="shared" si="10"/>
        <v>60</v>
      </c>
      <c r="B60" s="26">
        <f t="shared" si="10"/>
        <v>45</v>
      </c>
      <c r="C60" s="26">
        <f t="shared" si="10"/>
        <v>3850</v>
      </c>
      <c r="D60" s="34">
        <v>4.5725000000000002E-2</v>
      </c>
      <c r="E60" s="3">
        <v>10.84644973</v>
      </c>
      <c r="F60" s="28" cm="1">
        <f t="array" ref="F60">PreIncEndPoint(A60,$B$10,B60,$B$4,$B$5,$B$6,$B$7,D60,$G$1,$G$2)*C60</f>
        <v>16.152816147785604</v>
      </c>
      <c r="G60">
        <f t="shared" si="8"/>
        <v>-5.306366417785604</v>
      </c>
      <c r="H60" s="35">
        <f t="shared" si="9"/>
        <v>-23.202298401466667</v>
      </c>
    </row>
    <row r="61" spans="1:8" ht="15.6">
      <c r="A61" s="26">
        <f t="shared" si="10"/>
        <v>60</v>
      </c>
      <c r="B61" s="26">
        <f t="shared" si="10"/>
        <v>45</v>
      </c>
      <c r="C61" s="26">
        <f t="shared" si="10"/>
        <v>3850</v>
      </c>
      <c r="D61" s="34">
        <v>1.5242E-2</v>
      </c>
      <c r="E61" s="3">
        <v>46.115170469999995</v>
      </c>
      <c r="F61" s="28" cm="1">
        <f t="array" ref="F61">PreIncEndPoint(A61,$B$10,B61,$B$4,$B$5,$B$6,$B$7,D61,$G$1,$G$2)*C61</f>
        <v>53.695465441442529</v>
      </c>
      <c r="G61">
        <f t="shared" si="8"/>
        <v>-7.5802949714425338</v>
      </c>
      <c r="H61" s="35">
        <f t="shared" si="9"/>
        <v>12.066422338533329</v>
      </c>
    </row>
    <row r="62" spans="1:8" ht="15.6">
      <c r="A62" s="26">
        <f t="shared" si="10"/>
        <v>60</v>
      </c>
      <c r="B62" s="26">
        <f t="shared" si="10"/>
        <v>45</v>
      </c>
      <c r="C62" s="26">
        <f t="shared" si="10"/>
        <v>3850</v>
      </c>
      <c r="D62" s="34">
        <v>5.0809999999999996E-3</v>
      </c>
      <c r="E62" s="3">
        <v>71.397878794999997</v>
      </c>
      <c r="F62" s="28" cm="1">
        <f t="array" ref="F62">PreIncEndPoint(A62,$B$10,B62,$B$4,$B$5,$B$6,$B$7,D62,$G$1,$G$2)*C62</f>
        <v>81.198638950802021</v>
      </c>
      <c r="G62">
        <f t="shared" si="8"/>
        <v>-9.8007601558020241</v>
      </c>
      <c r="H62" s="35">
        <f t="shared" si="9"/>
        <v>37.34913066353333</v>
      </c>
    </row>
    <row r="63" spans="1:8" ht="15.6">
      <c r="A63" s="26">
        <f t="shared" si="10"/>
        <v>60</v>
      </c>
      <c r="B63" s="26">
        <f t="shared" si="10"/>
        <v>45</v>
      </c>
      <c r="C63" s="26">
        <f t="shared" si="10"/>
        <v>3850</v>
      </c>
      <c r="D63" s="34">
        <v>1.694E-3</v>
      </c>
      <c r="E63" s="3">
        <v>88.400413825000001</v>
      </c>
      <c r="F63" s="28" cm="1">
        <f t="array" ref="F63">PreIncEndPoint(A63,$B$10,B63,$B$4,$B$5,$B$6,$B$7,D63,$G$1,$G$2)*C63</f>
        <v>93.332078304373283</v>
      </c>
      <c r="G63">
        <f t="shared" si="8"/>
        <v>-4.931664479373282</v>
      </c>
      <c r="H63" s="35">
        <f t="shared" si="9"/>
        <v>54.351665693533334</v>
      </c>
    </row>
    <row r="64" spans="1:8" ht="15.6">
      <c r="A64" s="26">
        <f t="shared" si="10"/>
        <v>60</v>
      </c>
      <c r="B64" s="26">
        <f t="shared" si="10"/>
        <v>45</v>
      </c>
      <c r="C64" s="26">
        <f t="shared" si="10"/>
        <v>3850</v>
      </c>
      <c r="D64" s="34">
        <v>5.6466666666666666E-4</v>
      </c>
      <c r="E64" s="3">
        <v>95.772197480000003</v>
      </c>
      <c r="F64" s="28" cm="1">
        <f t="array" ref="F64">PreIncEndPoint(A64,$B$10,B64,$B$4,$B$5,$B$6,$B$7,D64,$G$1,$G$2)*C64</f>
        <v>97.783106392391431</v>
      </c>
      <c r="G64">
        <f t="shared" si="8"/>
        <v>-2.0109089123914288</v>
      </c>
      <c r="H64" s="35">
        <f t="shared" si="9"/>
        <v>61.723449348533336</v>
      </c>
    </row>
    <row r="65" spans="1:8" s="12" customFormat="1">
      <c r="H65" s="36"/>
    </row>
    <row r="66" spans="1:8" ht="15.6">
      <c r="A66" s="11">
        <v>120</v>
      </c>
      <c r="B66" s="11">
        <v>45</v>
      </c>
      <c r="C66" s="44">
        <v>3850</v>
      </c>
      <c r="D66" s="34">
        <v>100</v>
      </c>
      <c r="E66" s="10">
        <v>0.25162185650000002</v>
      </c>
      <c r="F66" s="28" cm="1">
        <f t="array" ref="F66">PreIncEndPoint(A66,$B$10,B66,$B$4,$B$5,$B$6,$B$7,D66,$G$1,$G$2)*C66</f>
        <v>1.1106734081557567E-58</v>
      </c>
      <c r="G66">
        <f t="shared" ref="G66:G77" si="11">IF(E66="", "", E66-F66)</f>
        <v>0.25162185650000002</v>
      </c>
      <c r="H66" s="35">
        <f t="shared" ref="H66:H77" si="12">IF(E66="", "", E66-AVERAGE($E$14:$E$90))</f>
        <v>-33.797126274966665</v>
      </c>
    </row>
    <row r="67" spans="1:8" ht="15.6">
      <c r="A67" s="26">
        <f>IF(A$66="", "", A$66)</f>
        <v>120</v>
      </c>
      <c r="B67" s="26">
        <f>IF(B$66="", "", B$66)</f>
        <v>45</v>
      </c>
      <c r="C67" s="26">
        <f>IF(C$66="", "", C$66)</f>
        <v>3850</v>
      </c>
      <c r="D67" s="34">
        <v>33.333329999999997</v>
      </c>
      <c r="E67" s="3">
        <v>0.143199613</v>
      </c>
      <c r="F67" s="28" cm="1">
        <f t="array" ref="F67">PreIncEndPoint(A67,$B$10,B67,$B$4,$B$5,$B$6,$B$7,D67,$G$1,$G$2)*C67</f>
        <v>7.8146102051644182E-56</v>
      </c>
      <c r="G67">
        <f t="shared" si="11"/>
        <v>0.143199613</v>
      </c>
      <c r="H67" s="35">
        <f t="shared" si="12"/>
        <v>-33.905548518466667</v>
      </c>
    </row>
    <row r="68" spans="1:8" ht="15.6">
      <c r="A68" s="26">
        <f t="shared" ref="A68:C77" si="13">IF(A$66="", "", A$66)</f>
        <v>120</v>
      </c>
      <c r="B68" s="26">
        <f t="shared" si="13"/>
        <v>45</v>
      </c>
      <c r="C68" s="26">
        <f t="shared" si="13"/>
        <v>3850</v>
      </c>
      <c r="D68" s="34">
        <v>11.11111</v>
      </c>
      <c r="E68" s="3">
        <v>0.13481973250000001</v>
      </c>
      <c r="F68" s="28" cm="1">
        <f t="array" ref="F68">PreIncEndPoint(A68,$B$10,B68,$B$4,$B$5,$B$6,$B$7,D68,$G$1,$G$2)*C68</f>
        <v>2.097491772029805E-49</v>
      </c>
      <c r="G68">
        <f t="shared" si="11"/>
        <v>0.13481973250000001</v>
      </c>
      <c r="H68" s="35">
        <f t="shared" si="12"/>
        <v>-33.913928398966668</v>
      </c>
    </row>
    <row r="69" spans="1:8" ht="15.6">
      <c r="A69" s="26">
        <f t="shared" si="13"/>
        <v>120</v>
      </c>
      <c r="B69" s="26">
        <f t="shared" si="13"/>
        <v>45</v>
      </c>
      <c r="C69" s="26">
        <f t="shared" si="13"/>
        <v>3850</v>
      </c>
      <c r="D69" s="34">
        <v>3.7037040000000001</v>
      </c>
      <c r="E69" s="3">
        <v>0.30849999950000001</v>
      </c>
      <c r="F69" s="28" cm="1">
        <f t="array" ref="F69">PreIncEndPoint(A69,$B$10,B69,$B$4,$B$5,$B$6,$B$7,D69,$G$1,$G$2)*C69</f>
        <v>2.7812044115170092E-37</v>
      </c>
      <c r="G69">
        <f t="shared" si="11"/>
        <v>0.30849999950000001</v>
      </c>
      <c r="H69" s="35">
        <f t="shared" si="12"/>
        <v>-33.740248131966666</v>
      </c>
    </row>
    <row r="70" spans="1:8" ht="15.6">
      <c r="A70" s="26">
        <f t="shared" si="13"/>
        <v>120</v>
      </c>
      <c r="B70" s="26">
        <f t="shared" si="13"/>
        <v>45</v>
      </c>
      <c r="C70" s="26">
        <f t="shared" si="13"/>
        <v>3850</v>
      </c>
      <c r="D70" s="34">
        <v>1.2345680000000001</v>
      </c>
      <c r="E70" s="3">
        <v>0.26645241749999998</v>
      </c>
      <c r="F70" s="28" cm="1">
        <f t="array" ref="F70">PreIncEndPoint(A70,$B$10,B70,$B$4,$B$5,$B$6,$B$7,D70,$G$1,$G$2)*C70</f>
        <v>9.3182933178991962E-22</v>
      </c>
      <c r="G70">
        <f t="shared" si="11"/>
        <v>0.26645241749999998</v>
      </c>
      <c r="H70" s="35">
        <f t="shared" si="12"/>
        <v>-33.782295713966668</v>
      </c>
    </row>
    <row r="71" spans="1:8" ht="15.6">
      <c r="A71" s="26">
        <f t="shared" si="13"/>
        <v>120</v>
      </c>
      <c r="B71" s="26">
        <f t="shared" si="13"/>
        <v>45</v>
      </c>
      <c r="C71" s="26">
        <f t="shared" si="13"/>
        <v>3850</v>
      </c>
      <c r="D71" s="34">
        <v>0.41152300000000003</v>
      </c>
      <c r="E71" s="3">
        <v>0.381715576</v>
      </c>
      <c r="F71" s="28" cm="1">
        <f t="array" ref="F71">PreIncEndPoint(A71,$B$10,B71,$B$4,$B$5,$B$6,$B$7,D71,$G$1,$G$2)*C71</f>
        <v>2.0406308943086095E-9</v>
      </c>
      <c r="G71">
        <f t="shared" si="11"/>
        <v>0.38171557395936911</v>
      </c>
      <c r="H71" s="35">
        <f t="shared" si="12"/>
        <v>-33.667032555466669</v>
      </c>
    </row>
    <row r="72" spans="1:8" ht="15.6">
      <c r="A72" s="26">
        <f t="shared" si="13"/>
        <v>120</v>
      </c>
      <c r="B72" s="26">
        <f t="shared" si="13"/>
        <v>45</v>
      </c>
      <c r="C72" s="26">
        <f t="shared" si="13"/>
        <v>3850</v>
      </c>
      <c r="D72" s="34">
        <v>0.13717399999999999</v>
      </c>
      <c r="E72" s="3">
        <v>1.1476197925</v>
      </c>
      <c r="F72" s="28" cm="1">
        <f t="array" ref="F72">PreIncEndPoint(A72,$B$10,B72,$B$4,$B$5,$B$6,$B$7,D72,$G$1,$G$2)*C72</f>
        <v>7.1938572954567829E-3</v>
      </c>
      <c r="G72">
        <f t="shared" si="11"/>
        <v>1.1404259352045432</v>
      </c>
      <c r="H72" s="35">
        <f t="shared" si="12"/>
        <v>-32.901128338966664</v>
      </c>
    </row>
    <row r="73" spans="1:8" ht="15.6">
      <c r="A73" s="26">
        <f t="shared" si="13"/>
        <v>120</v>
      </c>
      <c r="B73" s="26">
        <f t="shared" si="13"/>
        <v>45</v>
      </c>
      <c r="C73" s="26">
        <f t="shared" si="13"/>
        <v>3850</v>
      </c>
      <c r="D73" s="34">
        <v>4.5725000000000002E-2</v>
      </c>
      <c r="E73" s="3">
        <v>4.6082184955000001</v>
      </c>
      <c r="F73" s="28" cm="1">
        <f t="array" ref="F73">PreIncEndPoint(A73,$B$10,B73,$B$4,$B$5,$B$6,$B$7,D73,$G$1,$G$2)*C73</f>
        <v>3.4756358854593685</v>
      </c>
      <c r="G73">
        <f t="shared" si="11"/>
        <v>1.1325826100406315</v>
      </c>
      <c r="H73" s="35">
        <f t="shared" si="12"/>
        <v>-29.440529635966666</v>
      </c>
    </row>
    <row r="74" spans="1:8" ht="15.6">
      <c r="A74" s="26">
        <f t="shared" si="13"/>
        <v>120</v>
      </c>
      <c r="B74" s="26">
        <f t="shared" si="13"/>
        <v>45</v>
      </c>
      <c r="C74" s="26">
        <f t="shared" si="13"/>
        <v>3850</v>
      </c>
      <c r="D74" s="34">
        <v>1.5242E-2</v>
      </c>
      <c r="E74" s="3">
        <v>26.379284829999996</v>
      </c>
      <c r="F74" s="28" cm="1">
        <f t="array" ref="F74">PreIncEndPoint(A74,$B$10,B74,$B$4,$B$5,$B$6,$B$7,D74,$G$1,$G$2)*C74</f>
        <v>32.063356083784974</v>
      </c>
      <c r="G74">
        <f t="shared" si="11"/>
        <v>-5.6840712537849782</v>
      </c>
      <c r="H74" s="35">
        <f t="shared" si="12"/>
        <v>-7.6694633014666707</v>
      </c>
    </row>
    <row r="75" spans="1:8" ht="15.6">
      <c r="A75" s="26">
        <f t="shared" si="13"/>
        <v>120</v>
      </c>
      <c r="B75" s="26">
        <f t="shared" si="13"/>
        <v>45</v>
      </c>
      <c r="C75" s="26">
        <f t="shared" si="13"/>
        <v>3850</v>
      </c>
      <c r="D75" s="34">
        <v>5.0809999999999996E-3</v>
      </c>
      <c r="E75" s="3">
        <v>63.763076499999997</v>
      </c>
      <c r="F75" s="28" cm="1">
        <f t="array" ref="F75">PreIncEndPoint(A75,$B$10,B75,$B$4,$B$5,$B$6,$B$7,D75,$G$1,$G$2)*C75</f>
        <v>68.378076824195972</v>
      </c>
      <c r="G75">
        <f t="shared" si="11"/>
        <v>-4.6150003241959752</v>
      </c>
      <c r="H75" s="35">
        <f t="shared" si="12"/>
        <v>29.71432836853333</v>
      </c>
    </row>
    <row r="76" spans="1:8" ht="15.6">
      <c r="A76" s="26">
        <f t="shared" si="13"/>
        <v>120</v>
      </c>
      <c r="B76" s="26">
        <f t="shared" si="13"/>
        <v>45</v>
      </c>
      <c r="C76" s="26">
        <f t="shared" si="13"/>
        <v>3850</v>
      </c>
      <c r="D76" s="34">
        <v>1.694E-3</v>
      </c>
      <c r="E76" s="3">
        <v>75.860435899999999</v>
      </c>
      <c r="F76" s="28" cm="1">
        <f t="array" ref="F76">PreIncEndPoint(A76,$B$10,B76,$B$4,$B$5,$B$6,$B$7,D76,$G$1,$G$2)*C76</f>
        <v>88.138266696457961</v>
      </c>
      <c r="G76">
        <f t="shared" si="11"/>
        <v>-12.277830796457962</v>
      </c>
      <c r="H76" s="35">
        <f t="shared" si="12"/>
        <v>41.811687768533332</v>
      </c>
    </row>
    <row r="77" spans="1:8" ht="15.6">
      <c r="A77" s="26">
        <f t="shared" si="13"/>
        <v>120</v>
      </c>
      <c r="B77" s="26">
        <f t="shared" si="13"/>
        <v>45</v>
      </c>
      <c r="C77" s="26">
        <f t="shared" si="13"/>
        <v>3850</v>
      </c>
      <c r="D77" s="34">
        <v>5.6466666666666666E-4</v>
      </c>
      <c r="E77" s="3">
        <v>95.723334170000001</v>
      </c>
      <c r="F77" s="28" cm="1">
        <f t="array" ref="F77">PreIncEndPoint(A77,$B$10,B77,$B$4,$B$5,$B$6,$B$7,D77,$G$1,$G$2)*C77</f>
        <v>95.935081069772195</v>
      </c>
      <c r="G77">
        <f t="shared" si="11"/>
        <v>-0.2117468997721943</v>
      </c>
      <c r="H77" s="35">
        <f t="shared" si="12"/>
        <v>61.674586038533334</v>
      </c>
    </row>
    <row r="78" spans="1:8" s="12" customFormat="1">
      <c r="H78" s="36"/>
    </row>
    <row r="79" spans="1:8" ht="15.6">
      <c r="A79" s="11"/>
      <c r="B79" s="11"/>
      <c r="C79" s="11"/>
      <c r="D79" s="34"/>
      <c r="E79" s="10"/>
      <c r="F79" s="28" t="e">
        <f>#REF!</f>
        <v>#REF!</v>
      </c>
      <c r="G79" t="str">
        <f t="shared" ref="G79:G90" si="14">IF(E79="", "", E79-F79)</f>
        <v/>
      </c>
      <c r="H79" s="35" t="str">
        <f>IF(E79="", "", E79-AVERAGE($E$14:$E$90))</f>
        <v/>
      </c>
    </row>
    <row r="80" spans="1:8" ht="15.6">
      <c r="A80" s="26" t="str">
        <f>IF(A$79="", "", A$79)</f>
        <v/>
      </c>
      <c r="B80" s="26" t="str">
        <f>IF(B$79="", "", B$79)</f>
        <v/>
      </c>
      <c r="C80" s="26"/>
      <c r="D80" s="34"/>
      <c r="E80" s="3"/>
      <c r="F80" s="28" t="e">
        <f>#REF!</f>
        <v>#REF!</v>
      </c>
      <c r="G80" t="str">
        <f t="shared" si="14"/>
        <v/>
      </c>
      <c r="H80" s="35" t="str">
        <f t="shared" ref="H80:H90" si="15">IF(E80="", "", E80-AVERAGE($E$14:$E$90))</f>
        <v/>
      </c>
    </row>
    <row r="81" spans="1:8" ht="15.6">
      <c r="A81" s="26" t="str">
        <f t="shared" ref="A81:B90" si="16">IF(A$79="", "", A$79)</f>
        <v/>
      </c>
      <c r="B81" s="26" t="str">
        <f t="shared" si="16"/>
        <v/>
      </c>
      <c r="C81" s="26"/>
      <c r="D81" s="34"/>
      <c r="E81" s="3"/>
      <c r="F81" s="28" t="e">
        <f>#REF!</f>
        <v>#REF!</v>
      </c>
      <c r="G81" t="str">
        <f t="shared" si="14"/>
        <v/>
      </c>
      <c r="H81" s="35" t="str">
        <f t="shared" si="15"/>
        <v/>
      </c>
    </row>
    <row r="82" spans="1:8" ht="15.6">
      <c r="A82" s="26" t="str">
        <f t="shared" si="16"/>
        <v/>
      </c>
      <c r="B82" s="26" t="str">
        <f t="shared" si="16"/>
        <v/>
      </c>
      <c r="C82" s="26"/>
      <c r="D82" s="34"/>
      <c r="E82" s="3"/>
      <c r="F82" s="28" t="e">
        <f>#REF!</f>
        <v>#REF!</v>
      </c>
      <c r="G82" t="str">
        <f t="shared" si="14"/>
        <v/>
      </c>
      <c r="H82" s="35" t="str">
        <f t="shared" si="15"/>
        <v/>
      </c>
    </row>
    <row r="83" spans="1:8" ht="15.6">
      <c r="A83" s="26" t="str">
        <f t="shared" si="16"/>
        <v/>
      </c>
      <c r="B83" s="26" t="str">
        <f t="shared" si="16"/>
        <v/>
      </c>
      <c r="C83" s="26"/>
      <c r="D83" s="34"/>
      <c r="E83" s="3"/>
      <c r="F83" s="28" t="e">
        <f>#REF!</f>
        <v>#REF!</v>
      </c>
      <c r="G83" t="str">
        <f t="shared" si="14"/>
        <v/>
      </c>
      <c r="H83" s="35" t="str">
        <f t="shared" si="15"/>
        <v/>
      </c>
    </row>
    <row r="84" spans="1:8" ht="15.6">
      <c r="A84" s="26" t="str">
        <f t="shared" si="16"/>
        <v/>
      </c>
      <c r="B84" s="26" t="str">
        <f t="shared" si="16"/>
        <v/>
      </c>
      <c r="C84" s="26"/>
      <c r="D84" s="34"/>
      <c r="E84" s="3"/>
      <c r="F84" s="28" t="e">
        <f>#REF!</f>
        <v>#REF!</v>
      </c>
      <c r="G84" t="str">
        <f t="shared" si="14"/>
        <v/>
      </c>
      <c r="H84" s="35" t="str">
        <f t="shared" si="15"/>
        <v/>
      </c>
    </row>
    <row r="85" spans="1:8" ht="15.6">
      <c r="A85" s="26" t="str">
        <f t="shared" si="16"/>
        <v/>
      </c>
      <c r="B85" s="26" t="str">
        <f t="shared" si="16"/>
        <v/>
      </c>
      <c r="C85" s="26"/>
      <c r="D85" s="34"/>
      <c r="E85" s="3"/>
      <c r="F85" s="28" t="e">
        <f>#REF!</f>
        <v>#REF!</v>
      </c>
      <c r="G85" t="str">
        <f t="shared" si="14"/>
        <v/>
      </c>
      <c r="H85" s="35" t="str">
        <f t="shared" si="15"/>
        <v/>
      </c>
    </row>
    <row r="86" spans="1:8" ht="15.6">
      <c r="A86" s="26" t="str">
        <f t="shared" si="16"/>
        <v/>
      </c>
      <c r="B86" s="26" t="str">
        <f t="shared" si="16"/>
        <v/>
      </c>
      <c r="C86" s="26"/>
      <c r="D86" s="34"/>
      <c r="E86" s="3"/>
      <c r="F86" s="28" t="e">
        <f>#REF!</f>
        <v>#REF!</v>
      </c>
      <c r="G86" t="str">
        <f t="shared" si="14"/>
        <v/>
      </c>
      <c r="H86" s="35" t="str">
        <f t="shared" si="15"/>
        <v/>
      </c>
    </row>
    <row r="87" spans="1:8" ht="15.6">
      <c r="A87" s="26" t="str">
        <f t="shared" si="16"/>
        <v/>
      </c>
      <c r="B87" s="26" t="str">
        <f t="shared" si="16"/>
        <v/>
      </c>
      <c r="C87" s="26"/>
      <c r="D87" s="34"/>
      <c r="E87" s="3"/>
      <c r="F87" s="28" t="e">
        <f>#REF!</f>
        <v>#REF!</v>
      </c>
      <c r="G87" t="str">
        <f t="shared" si="14"/>
        <v/>
      </c>
      <c r="H87" s="35" t="str">
        <f t="shared" si="15"/>
        <v/>
      </c>
    </row>
    <row r="88" spans="1:8" ht="15.6">
      <c r="A88" s="26" t="str">
        <f t="shared" si="16"/>
        <v/>
      </c>
      <c r="B88" s="26" t="str">
        <f t="shared" si="16"/>
        <v/>
      </c>
      <c r="C88" s="26"/>
      <c r="D88" s="34"/>
      <c r="E88" s="3"/>
      <c r="F88" s="28" t="e">
        <f>#REF!</f>
        <v>#REF!</v>
      </c>
      <c r="G88" t="str">
        <f t="shared" si="14"/>
        <v/>
      </c>
      <c r="H88" s="35" t="str">
        <f t="shared" si="15"/>
        <v/>
      </c>
    </row>
    <row r="89" spans="1:8" ht="15.6">
      <c r="A89" s="26" t="str">
        <f t="shared" si="16"/>
        <v/>
      </c>
      <c r="B89" s="26" t="str">
        <f t="shared" si="16"/>
        <v/>
      </c>
      <c r="C89" s="26"/>
      <c r="D89" s="34"/>
      <c r="E89" s="3"/>
      <c r="F89" s="28" t="e">
        <f>#REF!</f>
        <v>#REF!</v>
      </c>
      <c r="G89" t="str">
        <f t="shared" si="14"/>
        <v/>
      </c>
      <c r="H89" s="35" t="str">
        <f t="shared" si="15"/>
        <v/>
      </c>
    </row>
    <row r="90" spans="1:8" ht="15.6">
      <c r="A90" s="26" t="str">
        <f t="shared" si="16"/>
        <v/>
      </c>
      <c r="B90" s="26" t="str">
        <f t="shared" si="16"/>
        <v/>
      </c>
      <c r="C90" s="26"/>
      <c r="D90" s="34"/>
      <c r="E90" s="3"/>
      <c r="F90" s="28" t="e">
        <f>#REF!</f>
        <v>#REF!</v>
      </c>
      <c r="G90" t="str">
        <f t="shared" si="14"/>
        <v/>
      </c>
      <c r="H90" s="35" t="str">
        <f t="shared" si="15"/>
        <v/>
      </c>
    </row>
  </sheetData>
  <pageMargins left="0.7" right="0.7" top="0.75" bottom="0.75" header="0.3" footer="0.3"/>
  <pageSetup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FA6A25-87F8-CA4C-9193-FD16C8A093D3}">
  <sheetPr codeName="Sheet3">
    <pageSetUpPr fitToPage="1"/>
  </sheetPr>
  <dimension ref="A1:J53"/>
  <sheetViews>
    <sheetView showGridLines="0" topLeftCell="A30" zoomScale="75" zoomScaleNormal="100" workbookViewId="0">
      <selection activeCell="C71" sqref="C71"/>
    </sheetView>
  </sheetViews>
  <sheetFormatPr defaultColWidth="10.90625" defaultRowHeight="15"/>
  <cols>
    <col min="1" max="1" width="16.26953125" customWidth="1"/>
    <col min="2" max="2" width="19.7265625" bestFit="1" customWidth="1"/>
    <col min="3" max="3" width="18.81640625" customWidth="1"/>
    <col min="4" max="4" width="12.26953125" customWidth="1"/>
    <col min="5" max="5" width="8.1796875" customWidth="1"/>
    <col min="6" max="6" width="18.1796875" customWidth="1"/>
    <col min="7" max="7" width="22.7265625" customWidth="1"/>
    <col min="9" max="9" width="10.7265625" customWidth="1"/>
    <col min="10" max="10" width="4.7265625" customWidth="1"/>
  </cols>
  <sheetData>
    <row r="1" spans="1:10" ht="18">
      <c r="B1" s="2" t="s">
        <v>22</v>
      </c>
      <c r="C1" s="30" t="str">
        <f>Data!B1</f>
        <v>Sample</v>
      </c>
      <c r="G1" s="13" t="s">
        <v>16</v>
      </c>
      <c r="H1" s="33">
        <f>Data!G1</f>
        <v>0.61461170547203403</v>
      </c>
    </row>
    <row r="2" spans="1:10" ht="18">
      <c r="B2" s="2" t="s">
        <v>19</v>
      </c>
      <c r="C2" s="31">
        <f>Data!B2</f>
        <v>45364</v>
      </c>
      <c r="G2" s="13" t="s">
        <v>17</v>
      </c>
      <c r="H2" s="33">
        <f>Data!G2</f>
        <v>1.0722664836009574</v>
      </c>
    </row>
    <row r="3" spans="1:10" ht="18">
      <c r="B3" s="4" t="s">
        <v>20</v>
      </c>
      <c r="C3" s="32">
        <f>Data!B4</f>
        <v>1.43</v>
      </c>
      <c r="G3" s="13" t="s">
        <v>18</v>
      </c>
      <c r="H3" s="33">
        <f>Data!G3</f>
        <v>0.57318932827966762</v>
      </c>
    </row>
    <row r="4" spans="1:10" ht="18">
      <c r="B4" s="4" t="s">
        <v>21</v>
      </c>
      <c r="C4" s="32">
        <f>Data!B5</f>
        <v>2.0000000000000001E-4</v>
      </c>
      <c r="G4" s="13" t="s">
        <v>31</v>
      </c>
      <c r="H4" s="33">
        <f>Data!I11</f>
        <v>0.97504148909377397</v>
      </c>
    </row>
    <row r="5" spans="1:10" ht="15.6">
      <c r="G5" s="13" t="s">
        <v>30</v>
      </c>
      <c r="H5" s="40">
        <f>Data!J11</f>
        <v>6.4160612144217151</v>
      </c>
    </row>
    <row r="7" spans="1:10" ht="15.6">
      <c r="A7" s="15"/>
      <c r="B7" s="16" t="str">
        <f>_xlfn.CONCAT("Pre-inc time : ",Data!$A$14," min")</f>
        <v>Pre-inc time : 2 min</v>
      </c>
      <c r="C7" s="16" t="str">
        <f>_xlfn.CONCAT("Inc time : ",Data!$B$14," min")</f>
        <v>Inc time : 45 min</v>
      </c>
      <c r="D7" s="15"/>
      <c r="F7" s="17"/>
      <c r="G7" s="18" t="str">
        <f>_xlfn.CONCAT("Pre-inc time : ",Data!$A$27," min")</f>
        <v>Pre-inc time : 5 min</v>
      </c>
      <c r="H7" s="18" t="str">
        <f>_xlfn.CONCAT("Inc time : ",Data!$B$27," min")</f>
        <v>Inc time : 45 min</v>
      </c>
      <c r="I7" s="17"/>
      <c r="J7" s="17"/>
    </row>
    <row r="8" spans="1:10">
      <c r="A8" s="15"/>
      <c r="B8" s="15"/>
      <c r="C8" s="15"/>
      <c r="D8" s="15"/>
      <c r="F8" s="17"/>
      <c r="G8" s="17"/>
      <c r="H8" s="17"/>
      <c r="I8" s="17"/>
      <c r="J8" s="17"/>
    </row>
    <row r="9" spans="1:10">
      <c r="A9" s="15"/>
      <c r="B9" s="15"/>
      <c r="C9" s="15"/>
      <c r="D9" s="15"/>
      <c r="F9" s="17"/>
      <c r="G9" s="17"/>
      <c r="H9" s="17"/>
      <c r="I9" s="17"/>
      <c r="J9" s="17"/>
    </row>
    <row r="10" spans="1:10">
      <c r="A10" s="15"/>
      <c r="B10" s="15"/>
      <c r="C10" s="15"/>
      <c r="D10" s="15"/>
      <c r="F10" s="17"/>
      <c r="G10" s="17"/>
      <c r="H10" s="17"/>
      <c r="I10" s="17"/>
      <c r="J10" s="17"/>
    </row>
    <row r="11" spans="1:10">
      <c r="A11" s="15"/>
      <c r="B11" s="15"/>
      <c r="C11" s="15"/>
      <c r="D11" s="15"/>
      <c r="F11" s="17"/>
      <c r="G11" s="17"/>
      <c r="H11" s="17"/>
      <c r="I11" s="17"/>
      <c r="J11" s="17"/>
    </row>
    <row r="12" spans="1:10">
      <c r="A12" s="15"/>
      <c r="B12" s="15"/>
      <c r="C12" s="15"/>
      <c r="D12" s="15"/>
      <c r="F12" s="17"/>
      <c r="G12" s="17"/>
      <c r="H12" s="17"/>
      <c r="I12" s="17"/>
      <c r="J12" s="17"/>
    </row>
    <row r="13" spans="1:10">
      <c r="A13" s="15"/>
      <c r="B13" s="15"/>
      <c r="C13" s="15"/>
      <c r="D13" s="15"/>
      <c r="F13" s="17"/>
      <c r="G13" s="17"/>
      <c r="H13" s="17"/>
      <c r="I13" s="17"/>
      <c r="J13" s="17"/>
    </row>
    <row r="14" spans="1:10">
      <c r="A14" s="15"/>
      <c r="B14" s="15"/>
      <c r="C14" s="15"/>
      <c r="D14" s="15"/>
      <c r="F14" s="17"/>
      <c r="G14" s="17"/>
      <c r="H14" s="17"/>
      <c r="I14" s="17"/>
      <c r="J14" s="17"/>
    </row>
    <row r="15" spans="1:10">
      <c r="A15" s="15"/>
      <c r="B15" s="15"/>
      <c r="C15" s="15"/>
      <c r="D15" s="15"/>
      <c r="F15" s="17"/>
      <c r="G15" s="17"/>
      <c r="H15" s="17"/>
      <c r="I15" s="17"/>
      <c r="J15" s="17"/>
    </row>
    <row r="16" spans="1:10">
      <c r="A16" s="15"/>
      <c r="B16" s="15"/>
      <c r="C16" s="15"/>
      <c r="D16" s="15"/>
      <c r="F16" s="17"/>
      <c r="G16" s="17"/>
      <c r="H16" s="17"/>
      <c r="I16" s="17"/>
      <c r="J16" s="17"/>
    </row>
    <row r="17" spans="1:10">
      <c r="A17" s="15"/>
      <c r="B17" s="15"/>
      <c r="C17" s="15"/>
      <c r="D17" s="15"/>
      <c r="F17" s="17"/>
      <c r="G17" s="17"/>
      <c r="H17" s="17"/>
      <c r="I17" s="17"/>
      <c r="J17" s="17"/>
    </row>
    <row r="18" spans="1:10">
      <c r="A18" s="15"/>
      <c r="B18" s="15"/>
      <c r="C18" s="15"/>
      <c r="D18" s="15"/>
      <c r="F18" s="17"/>
      <c r="G18" s="17"/>
      <c r="H18" s="17"/>
      <c r="I18" s="17"/>
      <c r="J18" s="17"/>
    </row>
    <row r="19" spans="1:10">
      <c r="A19" s="15"/>
      <c r="B19" s="15"/>
      <c r="C19" s="15"/>
      <c r="D19" s="15"/>
      <c r="F19" s="17"/>
      <c r="G19" s="17"/>
      <c r="H19" s="17"/>
      <c r="I19" s="17"/>
      <c r="J19" s="17"/>
    </row>
    <row r="20" spans="1:10">
      <c r="A20" s="15"/>
      <c r="B20" s="15"/>
      <c r="C20" s="15"/>
      <c r="D20" s="15"/>
      <c r="F20" s="17"/>
      <c r="G20" s="17"/>
      <c r="H20" s="17"/>
      <c r="I20" s="17"/>
      <c r="J20" s="17"/>
    </row>
    <row r="21" spans="1:10">
      <c r="A21" s="15"/>
      <c r="B21" s="15"/>
      <c r="C21" s="15"/>
      <c r="D21" s="15"/>
      <c r="F21" s="17"/>
      <c r="G21" s="17"/>
      <c r="H21" s="17"/>
      <c r="I21" s="17"/>
      <c r="J21" s="17"/>
    </row>
    <row r="23" spans="1:10" ht="15.6">
      <c r="A23" s="19"/>
      <c r="B23" s="20" t="str">
        <f>_xlfn.CONCAT("Pre-inc time : ",Data!$A$40," min")</f>
        <v>Pre-inc time : 20 min</v>
      </c>
      <c r="C23" s="20" t="str">
        <f>_xlfn.CONCAT("Inc time : ",Data!$B$40," min")</f>
        <v>Inc time : 45 min</v>
      </c>
      <c r="D23" s="19"/>
      <c r="F23" s="21"/>
      <c r="G23" s="22" t="str">
        <f>_xlfn.CONCAT("Pre-inc time : ",Data!$A$53," min")</f>
        <v>Pre-inc time : 60 min</v>
      </c>
      <c r="H23" s="22" t="str">
        <f>_xlfn.CONCAT("Inc time : ",Data!$B$53," min")</f>
        <v>Inc time : 45 min</v>
      </c>
      <c r="I23" s="21"/>
      <c r="J23" s="21"/>
    </row>
    <row r="24" spans="1:10">
      <c r="A24" s="19"/>
      <c r="B24" s="19"/>
      <c r="C24" s="19"/>
      <c r="D24" s="19"/>
      <c r="F24" s="21"/>
      <c r="G24" s="21"/>
      <c r="H24" s="21"/>
      <c r="I24" s="21"/>
      <c r="J24" s="21"/>
    </row>
    <row r="25" spans="1:10">
      <c r="A25" s="19"/>
      <c r="B25" s="19"/>
      <c r="C25" s="19"/>
      <c r="D25" s="19"/>
      <c r="F25" s="21"/>
      <c r="G25" s="21"/>
      <c r="H25" s="21"/>
      <c r="I25" s="21"/>
      <c r="J25" s="21"/>
    </row>
    <row r="26" spans="1:10">
      <c r="A26" s="19"/>
      <c r="B26" s="19"/>
      <c r="C26" s="19"/>
      <c r="D26" s="19"/>
      <c r="F26" s="21"/>
      <c r="G26" s="21"/>
      <c r="H26" s="21"/>
      <c r="I26" s="21"/>
      <c r="J26" s="21"/>
    </row>
    <row r="27" spans="1:10">
      <c r="A27" s="19"/>
      <c r="B27" s="19"/>
      <c r="C27" s="19"/>
      <c r="D27" s="19"/>
      <c r="F27" s="21"/>
      <c r="G27" s="21"/>
      <c r="H27" s="21"/>
      <c r="I27" s="21"/>
      <c r="J27" s="21"/>
    </row>
    <row r="28" spans="1:10">
      <c r="A28" s="19"/>
      <c r="B28" s="19"/>
      <c r="C28" s="19"/>
      <c r="D28" s="19"/>
      <c r="F28" s="21"/>
      <c r="G28" s="21"/>
      <c r="H28" s="21"/>
      <c r="I28" s="21"/>
      <c r="J28" s="21"/>
    </row>
    <row r="29" spans="1:10">
      <c r="A29" s="19"/>
      <c r="B29" s="19"/>
      <c r="C29" s="19"/>
      <c r="D29" s="19"/>
      <c r="F29" s="21"/>
      <c r="G29" s="21"/>
      <c r="H29" s="21"/>
      <c r="I29" s="21"/>
      <c r="J29" s="21"/>
    </row>
    <row r="30" spans="1:10">
      <c r="A30" s="19"/>
      <c r="B30" s="19"/>
      <c r="C30" s="19"/>
      <c r="D30" s="19"/>
      <c r="F30" s="21"/>
      <c r="G30" s="21"/>
      <c r="H30" s="21"/>
      <c r="I30" s="21"/>
      <c r="J30" s="21"/>
    </row>
    <row r="31" spans="1:10">
      <c r="A31" s="19"/>
      <c r="B31" s="19"/>
      <c r="C31" s="19"/>
      <c r="D31" s="19"/>
      <c r="F31" s="21"/>
      <c r="G31" s="21"/>
      <c r="H31" s="21"/>
      <c r="I31" s="21"/>
      <c r="J31" s="21"/>
    </row>
    <row r="32" spans="1:10">
      <c r="A32" s="19"/>
      <c r="B32" s="19"/>
      <c r="C32" s="19"/>
      <c r="D32" s="19"/>
      <c r="F32" s="21"/>
      <c r="G32" s="21"/>
      <c r="H32" s="21"/>
      <c r="I32" s="21"/>
      <c r="J32" s="21"/>
    </row>
    <row r="33" spans="1:10">
      <c r="A33" s="19"/>
      <c r="B33" s="19"/>
      <c r="C33" s="19"/>
      <c r="D33" s="19"/>
      <c r="F33" s="21"/>
      <c r="G33" s="21"/>
      <c r="H33" s="21"/>
      <c r="I33" s="21"/>
      <c r="J33" s="21"/>
    </row>
    <row r="34" spans="1:10">
      <c r="A34" s="19"/>
      <c r="B34" s="19"/>
      <c r="C34" s="19"/>
      <c r="D34" s="19"/>
      <c r="F34" s="21"/>
      <c r="G34" s="21"/>
      <c r="H34" s="21"/>
      <c r="I34" s="21"/>
      <c r="J34" s="21"/>
    </row>
    <row r="35" spans="1:10">
      <c r="A35" s="19"/>
      <c r="B35" s="19"/>
      <c r="C35" s="19"/>
      <c r="D35" s="19"/>
      <c r="F35" s="21"/>
      <c r="G35" s="21"/>
      <c r="H35" s="21"/>
      <c r="I35" s="21"/>
      <c r="J35" s="21"/>
    </row>
    <row r="36" spans="1:10">
      <c r="A36" s="19"/>
      <c r="B36" s="19"/>
      <c r="C36" s="19"/>
      <c r="D36" s="19"/>
      <c r="F36" s="21"/>
      <c r="G36" s="21"/>
      <c r="H36" s="21"/>
      <c r="I36" s="21"/>
      <c r="J36" s="21"/>
    </row>
    <row r="37" spans="1:10">
      <c r="A37" s="19"/>
      <c r="B37" s="19"/>
      <c r="C37" s="19"/>
      <c r="D37" s="19"/>
      <c r="F37" s="21"/>
      <c r="G37" s="21"/>
      <c r="H37" s="21"/>
      <c r="I37" s="21"/>
      <c r="J37" s="21"/>
    </row>
    <row r="39" spans="1:10" ht="15.6">
      <c r="A39" s="23"/>
      <c r="B39" s="24" t="str">
        <f>_xlfn.CONCAT("Pre-inc time : ",Data!$A$66," min")</f>
        <v>Pre-inc time : 120 min</v>
      </c>
      <c r="C39" s="24" t="str">
        <f>_xlfn.CONCAT("Inc time : ",Data!$B$66," min")</f>
        <v>Inc time : 45 min</v>
      </c>
      <c r="D39" s="23"/>
      <c r="F39" s="1"/>
      <c r="G39" s="14" t="str">
        <f>_xlfn.CONCAT("Pre-inc time : ",Data!$A$79," min")</f>
        <v>Pre-inc time :  min</v>
      </c>
      <c r="H39" s="14" t="str">
        <f>_xlfn.CONCAT("Inc time : ",Data!$B$79," min")</f>
        <v>Inc time :  min</v>
      </c>
      <c r="I39" s="1"/>
      <c r="J39" s="1"/>
    </row>
    <row r="40" spans="1:10">
      <c r="A40" s="23"/>
      <c r="B40" s="23"/>
      <c r="C40" s="23"/>
      <c r="D40" s="23"/>
      <c r="F40" s="1"/>
      <c r="G40" s="1"/>
      <c r="H40" s="1"/>
      <c r="I40" s="1"/>
      <c r="J40" s="1"/>
    </row>
    <row r="41" spans="1:10">
      <c r="A41" s="23"/>
      <c r="B41" s="23"/>
      <c r="C41" s="23"/>
      <c r="D41" s="23"/>
      <c r="F41" s="1"/>
      <c r="G41" s="1"/>
      <c r="H41" s="1"/>
      <c r="I41" s="1"/>
      <c r="J41" s="1"/>
    </row>
    <row r="42" spans="1:10">
      <c r="A42" s="23"/>
      <c r="B42" s="23"/>
      <c r="C42" s="23"/>
      <c r="D42" s="23"/>
      <c r="F42" s="1"/>
      <c r="G42" s="1"/>
      <c r="H42" s="1"/>
      <c r="I42" s="1"/>
      <c r="J42" s="1"/>
    </row>
    <row r="43" spans="1:10">
      <c r="A43" s="23"/>
      <c r="B43" s="23"/>
      <c r="C43" s="23"/>
      <c r="D43" s="23"/>
      <c r="F43" s="1"/>
      <c r="G43" s="1"/>
      <c r="H43" s="1"/>
      <c r="I43" s="1"/>
      <c r="J43" s="1"/>
    </row>
    <row r="44" spans="1:10">
      <c r="A44" s="23"/>
      <c r="B44" s="23"/>
      <c r="C44" s="23"/>
      <c r="D44" s="23"/>
      <c r="F44" s="1"/>
      <c r="G44" s="1"/>
      <c r="H44" s="1"/>
      <c r="I44" s="1"/>
      <c r="J44" s="1"/>
    </row>
    <row r="45" spans="1:10">
      <c r="A45" s="23"/>
      <c r="B45" s="23"/>
      <c r="C45" s="23"/>
      <c r="D45" s="23"/>
      <c r="F45" s="1"/>
      <c r="G45" s="1"/>
      <c r="H45" s="1"/>
      <c r="I45" s="1"/>
      <c r="J45" s="1"/>
    </row>
    <row r="46" spans="1:10">
      <c r="A46" s="23"/>
      <c r="B46" s="23"/>
      <c r="C46" s="23"/>
      <c r="D46" s="23"/>
      <c r="F46" s="1"/>
      <c r="G46" s="1"/>
      <c r="H46" s="1"/>
      <c r="I46" s="1"/>
      <c r="J46" s="1"/>
    </row>
    <row r="47" spans="1:10">
      <c r="A47" s="23"/>
      <c r="B47" s="23"/>
      <c r="C47" s="23"/>
      <c r="D47" s="23"/>
      <c r="F47" s="1"/>
      <c r="G47" s="1"/>
      <c r="H47" s="1"/>
      <c r="I47" s="1"/>
      <c r="J47" s="1"/>
    </row>
    <row r="48" spans="1:10">
      <c r="A48" s="23"/>
      <c r="B48" s="23"/>
      <c r="C48" s="23"/>
      <c r="D48" s="23"/>
      <c r="F48" s="1"/>
      <c r="G48" s="1"/>
      <c r="H48" s="1"/>
      <c r="I48" s="1"/>
      <c r="J48" s="1"/>
    </row>
    <row r="49" spans="1:10">
      <c r="A49" s="23"/>
      <c r="B49" s="23"/>
      <c r="C49" s="23"/>
      <c r="D49" s="23"/>
      <c r="F49" s="1"/>
      <c r="G49" s="1"/>
      <c r="H49" s="1"/>
      <c r="I49" s="1"/>
      <c r="J49" s="1"/>
    </row>
    <row r="50" spans="1:10">
      <c r="A50" s="23"/>
      <c r="B50" s="23"/>
      <c r="C50" s="23"/>
      <c r="D50" s="23"/>
      <c r="F50" s="1"/>
      <c r="G50" s="1"/>
      <c r="H50" s="1"/>
      <c r="I50" s="1"/>
      <c r="J50" s="1"/>
    </row>
    <row r="51" spans="1:10">
      <c r="A51" s="23"/>
      <c r="B51" s="23"/>
      <c r="C51" s="23"/>
      <c r="D51" s="23"/>
      <c r="F51" s="1"/>
      <c r="G51" s="1"/>
      <c r="H51" s="1"/>
      <c r="I51" s="1"/>
      <c r="J51" s="1"/>
    </row>
    <row r="52" spans="1:10">
      <c r="A52" s="23"/>
      <c r="B52" s="23"/>
      <c r="C52" s="23"/>
      <c r="D52" s="23"/>
      <c r="F52" s="1"/>
      <c r="G52" s="1"/>
      <c r="H52" s="1"/>
      <c r="I52" s="1"/>
      <c r="J52" s="1"/>
    </row>
    <row r="53" spans="1:10">
      <c r="A53" s="23"/>
      <c r="B53" s="23"/>
      <c r="C53" s="23"/>
      <c r="D53" s="23"/>
      <c r="F53" s="1"/>
      <c r="G53" s="1"/>
      <c r="H53" s="1"/>
      <c r="I53" s="1"/>
      <c r="J53" s="1"/>
    </row>
  </sheetData>
  <pageMargins left="0.7" right="0.7" top="0.75" bottom="0.75" header="0.3" footer="0.3"/>
  <pageSetup scale="51"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Instructions</vt:lpstr>
      <vt:lpstr>Data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Jeffrey W. Keillor</dc:creator>
  <cp:lastModifiedBy>Bethany Atkinson</cp:lastModifiedBy>
  <dcterms:created xsi:type="dcterms:W3CDTF">2023-02-27T15:19:06Z</dcterms:created>
  <dcterms:modified xsi:type="dcterms:W3CDTF">2024-03-13T10:19:38Z</dcterms:modified>
</cp:coreProperties>
</file>